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faisa\Documents\GitHub\Metaphorical_Analysis\docs\phase4\"/>
    </mc:Choice>
  </mc:AlternateContent>
  <xr:revisionPtr revIDLastSave="0" documentId="13_ncr:1_{89A24D43-C3FB-42AF-A54C-795720277C58}" xr6:coauthVersionLast="47" xr6:coauthVersionMax="47" xr10:uidLastSave="{00000000-0000-0000-0000-000000000000}"/>
  <bookViews>
    <workbookView xWindow="-93" yWindow="-93" windowWidth="25786" windowHeight="14586" xr2:uid="{00000000-000D-0000-FFFF-FFFF00000000}"/>
  </bookViews>
  <sheets>
    <sheet name="E1v2 Core" sheetId="1" r:id="rId1"/>
    <sheet name="Eras FewShot" sheetId="2" r:id="rId2"/>
    <sheet name="Multipoet F5F10" sheetId="3" r:id="rId3"/>
    <sheet name="Opus5.5 SetA" sheetId="4" r:id="rId4"/>
    <sheet name="P7 استعارة قديمة" sheetId="5" r:id="rId5"/>
    <sheet name="P7 كناية عن صفة" sheetId="6" r:id="rId6"/>
    <sheet name="P7 تشبيه قصير" sheetId="7" r:id="rId7"/>
    <sheet name="P7 تشبيه مطول" sheetId="8" r:id="rId8"/>
    <sheet name="Phase1 Frozen" sheetId="9" r:id="rId9"/>
    <sheet name="Summary" sheetId="10" r:id="rId10"/>
    <sheet name="Not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9" l="1"/>
  <c r="F21" i="9"/>
  <c r="H21" i="9" s="1"/>
  <c r="E21" i="9"/>
  <c r="G20" i="9"/>
  <c r="F20" i="9"/>
  <c r="H20" i="9" s="1"/>
  <c r="E20" i="9"/>
  <c r="G19" i="9"/>
  <c r="F19" i="9"/>
  <c r="H19" i="9" s="1"/>
  <c r="E19" i="9"/>
  <c r="G17" i="9"/>
  <c r="F17" i="9"/>
  <c r="H17" i="9" s="1"/>
  <c r="E17" i="9"/>
  <c r="G16" i="9"/>
  <c r="F16" i="9"/>
  <c r="H16" i="9" s="1"/>
  <c r="E16" i="9"/>
  <c r="G15" i="9"/>
  <c r="F15" i="9"/>
  <c r="H15" i="9" s="1"/>
  <c r="E15" i="9"/>
  <c r="G37" i="8"/>
  <c r="F37" i="8"/>
  <c r="H37" i="8" s="1"/>
  <c r="E37" i="8"/>
  <c r="G36" i="8"/>
  <c r="F36" i="8"/>
  <c r="H36" i="8" s="1"/>
  <c r="E36" i="8"/>
  <c r="G34" i="8"/>
  <c r="F34" i="8"/>
  <c r="H34" i="8" s="1"/>
  <c r="E34" i="8"/>
  <c r="G33" i="8"/>
  <c r="F33" i="8"/>
  <c r="H33" i="8" s="1"/>
  <c r="E33" i="8"/>
  <c r="G31" i="8"/>
  <c r="F31" i="8"/>
  <c r="H31" i="8" s="1"/>
  <c r="E31" i="8"/>
  <c r="G30" i="8"/>
  <c r="F30" i="8"/>
  <c r="H30" i="8" s="1"/>
  <c r="E30" i="8"/>
  <c r="G27" i="8"/>
  <c r="F27" i="8"/>
  <c r="H27" i="8" s="1"/>
  <c r="E27" i="8"/>
  <c r="G26" i="8"/>
  <c r="F26" i="8"/>
  <c r="H26" i="8" s="1"/>
  <c r="E26" i="8"/>
  <c r="G25" i="8"/>
  <c r="F25" i="8"/>
  <c r="H25" i="8" s="1"/>
  <c r="E25" i="8"/>
  <c r="G23" i="8"/>
  <c r="F23" i="8"/>
  <c r="H23" i="8" s="1"/>
  <c r="E23" i="8"/>
  <c r="G22" i="8"/>
  <c r="F22" i="8"/>
  <c r="H22" i="8" s="1"/>
  <c r="E22" i="8"/>
  <c r="G21" i="8"/>
  <c r="F21" i="8"/>
  <c r="H21" i="8" s="1"/>
  <c r="E21" i="8"/>
  <c r="G37" i="7"/>
  <c r="F37" i="7"/>
  <c r="H37" i="7" s="1"/>
  <c r="E37" i="7"/>
  <c r="G36" i="7"/>
  <c r="F36" i="7"/>
  <c r="H36" i="7" s="1"/>
  <c r="E36" i="7"/>
  <c r="G34" i="7"/>
  <c r="F34" i="7"/>
  <c r="H34" i="7" s="1"/>
  <c r="E34" i="7"/>
  <c r="G33" i="7"/>
  <c r="F33" i="7"/>
  <c r="H33" i="7" s="1"/>
  <c r="E33" i="7"/>
  <c r="G31" i="7"/>
  <c r="F31" i="7"/>
  <c r="H31" i="7" s="1"/>
  <c r="E31" i="7"/>
  <c r="G30" i="7"/>
  <c r="F30" i="7"/>
  <c r="H30" i="7" s="1"/>
  <c r="E30" i="7"/>
  <c r="G27" i="7"/>
  <c r="F27" i="7"/>
  <c r="H27" i="7" s="1"/>
  <c r="E27" i="7"/>
  <c r="G26" i="7"/>
  <c r="F26" i="7"/>
  <c r="H26" i="7" s="1"/>
  <c r="E26" i="7"/>
  <c r="G25" i="7"/>
  <c r="F25" i="7"/>
  <c r="H25" i="7" s="1"/>
  <c r="E25" i="7"/>
  <c r="G23" i="7"/>
  <c r="F23" i="7"/>
  <c r="H23" i="7" s="1"/>
  <c r="E23" i="7"/>
  <c r="G22" i="7"/>
  <c r="F22" i="7"/>
  <c r="H22" i="7" s="1"/>
  <c r="E22" i="7"/>
  <c r="G21" i="7"/>
  <c r="F21" i="7"/>
  <c r="H21" i="7" s="1"/>
  <c r="E21" i="7"/>
  <c r="G37" i="6"/>
  <c r="F37" i="6"/>
  <c r="H37" i="6" s="1"/>
  <c r="E37" i="6"/>
  <c r="G36" i="6"/>
  <c r="F36" i="6"/>
  <c r="H36" i="6" s="1"/>
  <c r="E36" i="6"/>
  <c r="G34" i="6"/>
  <c r="F34" i="6"/>
  <c r="H34" i="6" s="1"/>
  <c r="E34" i="6"/>
  <c r="G33" i="6"/>
  <c r="F33" i="6"/>
  <c r="H33" i="6" s="1"/>
  <c r="E33" i="6"/>
  <c r="G31" i="6"/>
  <c r="F31" i="6"/>
  <c r="E31" i="6"/>
  <c r="G30" i="6"/>
  <c r="F30" i="6"/>
  <c r="H30" i="6" s="1"/>
  <c r="E30" i="6"/>
  <c r="G27" i="6"/>
  <c r="F27" i="6"/>
  <c r="H27" i="6" s="1"/>
  <c r="E27" i="6"/>
  <c r="G26" i="6"/>
  <c r="F26" i="6"/>
  <c r="H26" i="6" s="1"/>
  <c r="E26" i="6"/>
  <c r="G25" i="6"/>
  <c r="F25" i="6"/>
  <c r="H25" i="6" s="1"/>
  <c r="E25" i="6"/>
  <c r="G23" i="6"/>
  <c r="F23" i="6"/>
  <c r="H23" i="6" s="1"/>
  <c r="E23" i="6"/>
  <c r="G22" i="6"/>
  <c r="F22" i="6"/>
  <c r="H22" i="6" s="1"/>
  <c r="E22" i="6"/>
  <c r="G21" i="6"/>
  <c r="F21" i="6"/>
  <c r="H21" i="6" s="1"/>
  <c r="E21" i="6"/>
  <c r="G37" i="5"/>
  <c r="F37" i="5"/>
  <c r="H37" i="5" s="1"/>
  <c r="E37" i="5"/>
  <c r="G36" i="5"/>
  <c r="F36" i="5"/>
  <c r="H36" i="5" s="1"/>
  <c r="E36" i="5"/>
  <c r="G34" i="5"/>
  <c r="F34" i="5"/>
  <c r="H34" i="5" s="1"/>
  <c r="E34" i="5"/>
  <c r="G33" i="5"/>
  <c r="F33" i="5"/>
  <c r="H33" i="5" s="1"/>
  <c r="E33" i="5"/>
  <c r="G31" i="5"/>
  <c r="F31" i="5"/>
  <c r="H31" i="5" s="1"/>
  <c r="E31" i="5"/>
  <c r="G30" i="5"/>
  <c r="F30" i="5"/>
  <c r="H30" i="5" s="1"/>
  <c r="E30" i="5"/>
  <c r="G27" i="5"/>
  <c r="F27" i="5"/>
  <c r="H27" i="5" s="1"/>
  <c r="E27" i="5"/>
  <c r="G26" i="5"/>
  <c r="F26" i="5"/>
  <c r="H26" i="5" s="1"/>
  <c r="E26" i="5"/>
  <c r="G25" i="5"/>
  <c r="F25" i="5"/>
  <c r="H25" i="5" s="1"/>
  <c r="E25" i="5"/>
  <c r="G23" i="5"/>
  <c r="F23" i="5"/>
  <c r="H23" i="5" s="1"/>
  <c r="E23" i="5"/>
  <c r="G22" i="5"/>
  <c r="F22" i="5"/>
  <c r="H22" i="5" s="1"/>
  <c r="E22" i="5"/>
  <c r="G21" i="5"/>
  <c r="F21" i="5"/>
  <c r="H21" i="5" s="1"/>
  <c r="E21" i="5"/>
  <c r="G36" i="4"/>
  <c r="F36" i="4"/>
  <c r="H36" i="4" s="1"/>
  <c r="E36" i="4"/>
  <c r="G35" i="4"/>
  <c r="F35" i="4"/>
  <c r="H35" i="4" s="1"/>
  <c r="E35" i="4"/>
  <c r="G33" i="4"/>
  <c r="F33" i="4"/>
  <c r="H33" i="4" s="1"/>
  <c r="E33" i="4"/>
  <c r="G32" i="4"/>
  <c r="F32" i="4"/>
  <c r="H32" i="4" s="1"/>
  <c r="E32" i="4"/>
  <c r="G30" i="4"/>
  <c r="F30" i="4"/>
  <c r="H30" i="4" s="1"/>
  <c r="E30" i="4"/>
  <c r="G29" i="4"/>
  <c r="F29" i="4"/>
  <c r="H29" i="4" s="1"/>
  <c r="E29" i="4"/>
  <c r="G27" i="4"/>
  <c r="F27" i="4"/>
  <c r="H27" i="4" s="1"/>
  <c r="E27" i="4"/>
  <c r="G26" i="4"/>
  <c r="F26" i="4"/>
  <c r="H26" i="4" s="1"/>
  <c r="E26" i="4"/>
  <c r="G25" i="4"/>
  <c r="F25" i="4"/>
  <c r="H25" i="4" s="1"/>
  <c r="E25" i="4"/>
  <c r="G24" i="4"/>
  <c r="F24" i="4"/>
  <c r="H24" i="4" s="1"/>
  <c r="E24" i="4"/>
  <c r="G22" i="4"/>
  <c r="F22" i="4"/>
  <c r="H22" i="4" s="1"/>
  <c r="E22" i="4"/>
  <c r="G21" i="4"/>
  <c r="F21" i="4"/>
  <c r="H21" i="4" s="1"/>
  <c r="E21" i="4"/>
  <c r="G20" i="4"/>
  <c r="F20" i="4"/>
  <c r="H20" i="4" s="1"/>
  <c r="E20" i="4"/>
  <c r="G35" i="3"/>
  <c r="F35" i="3"/>
  <c r="H35" i="3" s="1"/>
  <c r="E35" i="3"/>
  <c r="G34" i="3"/>
  <c r="F34" i="3"/>
  <c r="H34" i="3" s="1"/>
  <c r="E34" i="3"/>
  <c r="G32" i="3"/>
  <c r="F32" i="3"/>
  <c r="H32" i="3" s="1"/>
  <c r="E32" i="3"/>
  <c r="G31" i="3"/>
  <c r="F31" i="3"/>
  <c r="H31" i="3" s="1"/>
  <c r="E31" i="3"/>
  <c r="G26" i="3"/>
  <c r="F26" i="3"/>
  <c r="H26" i="3" s="1"/>
  <c r="E26" i="3"/>
  <c r="G25" i="3"/>
  <c r="F25" i="3"/>
  <c r="H25" i="3" s="1"/>
  <c r="E25" i="3"/>
  <c r="G24" i="3"/>
  <c r="F24" i="3"/>
  <c r="H24" i="3" s="1"/>
  <c r="E24" i="3"/>
  <c r="G22" i="3"/>
  <c r="F22" i="3"/>
  <c r="H22" i="3" s="1"/>
  <c r="E22" i="3"/>
  <c r="G21" i="3"/>
  <c r="F21" i="3"/>
  <c r="H21" i="3" s="1"/>
  <c r="E21" i="3"/>
  <c r="G20" i="3"/>
  <c r="F20" i="3"/>
  <c r="H20" i="3" s="1"/>
  <c r="E20" i="3"/>
  <c r="D101" i="2"/>
  <c r="C101" i="2"/>
  <c r="B101" i="2"/>
  <c r="E101" i="2" s="1"/>
  <c r="G100" i="2"/>
  <c r="F100" i="2"/>
  <c r="H100" i="2" s="1"/>
  <c r="E100" i="2"/>
  <c r="G99" i="2"/>
  <c r="F99" i="2"/>
  <c r="H99" i="2" s="1"/>
  <c r="E99" i="2"/>
  <c r="G98" i="2"/>
  <c r="F98" i="2"/>
  <c r="H98" i="2" s="1"/>
  <c r="E98" i="2"/>
  <c r="G97" i="2"/>
  <c r="F97" i="2"/>
  <c r="H97" i="2" s="1"/>
  <c r="E97" i="2"/>
  <c r="G96" i="2"/>
  <c r="F96" i="2"/>
  <c r="H96" i="2" s="1"/>
  <c r="E96" i="2"/>
  <c r="G95" i="2"/>
  <c r="F95" i="2"/>
  <c r="H95" i="2" s="1"/>
  <c r="E95" i="2"/>
  <c r="G94" i="2"/>
  <c r="F94" i="2"/>
  <c r="H94" i="2" s="1"/>
  <c r="E94" i="2"/>
  <c r="G93" i="2"/>
  <c r="G101" i="2" s="1"/>
  <c r="F93" i="2"/>
  <c r="E93" i="2"/>
  <c r="D92" i="2"/>
  <c r="C92" i="2"/>
  <c r="B92" i="2"/>
  <c r="E92" i="2" s="1"/>
  <c r="G91" i="2"/>
  <c r="F91" i="2"/>
  <c r="H91" i="2" s="1"/>
  <c r="E91" i="2"/>
  <c r="G90" i="2"/>
  <c r="F90" i="2"/>
  <c r="E90" i="2"/>
  <c r="G89" i="2"/>
  <c r="F89" i="2"/>
  <c r="H89" i="2" s="1"/>
  <c r="E89" i="2"/>
  <c r="G88" i="2"/>
  <c r="F88" i="2"/>
  <c r="H88" i="2" s="1"/>
  <c r="E88" i="2"/>
  <c r="G87" i="2"/>
  <c r="F87" i="2"/>
  <c r="H87" i="2" s="1"/>
  <c r="E87" i="2"/>
  <c r="G86" i="2"/>
  <c r="F86" i="2"/>
  <c r="H86" i="2" s="1"/>
  <c r="E86" i="2"/>
  <c r="G85" i="2"/>
  <c r="F85" i="2"/>
  <c r="H85" i="2" s="1"/>
  <c r="E85" i="2"/>
  <c r="G84" i="2"/>
  <c r="F84" i="2"/>
  <c r="H84" i="2" s="1"/>
  <c r="E84" i="2"/>
  <c r="D82" i="2"/>
  <c r="C82" i="2"/>
  <c r="B82" i="2"/>
  <c r="E82" i="2" s="1"/>
  <c r="G81" i="2"/>
  <c r="F81" i="2"/>
  <c r="H81" i="2" s="1"/>
  <c r="E81" i="2"/>
  <c r="G80" i="2"/>
  <c r="F80" i="2"/>
  <c r="H80" i="2" s="1"/>
  <c r="E80" i="2"/>
  <c r="G79" i="2"/>
  <c r="F79" i="2"/>
  <c r="H79" i="2" s="1"/>
  <c r="E79" i="2"/>
  <c r="G78" i="2"/>
  <c r="F78" i="2"/>
  <c r="H78" i="2" s="1"/>
  <c r="E78" i="2"/>
  <c r="G77" i="2"/>
  <c r="F77" i="2"/>
  <c r="H77" i="2" s="1"/>
  <c r="E77" i="2"/>
  <c r="G76" i="2"/>
  <c r="F76" i="2"/>
  <c r="H76" i="2" s="1"/>
  <c r="E76" i="2"/>
  <c r="G75" i="2"/>
  <c r="F75" i="2"/>
  <c r="H75" i="2" s="1"/>
  <c r="E75" i="2"/>
  <c r="G74" i="2"/>
  <c r="F74" i="2"/>
  <c r="E74" i="2"/>
  <c r="D73" i="2"/>
  <c r="C73" i="2"/>
  <c r="B73" i="2"/>
  <c r="E73" i="2" s="1"/>
  <c r="G72" i="2"/>
  <c r="F72" i="2"/>
  <c r="E72" i="2"/>
  <c r="G71" i="2"/>
  <c r="F71" i="2"/>
  <c r="H71" i="2" s="1"/>
  <c r="E71" i="2"/>
  <c r="G70" i="2"/>
  <c r="F70" i="2"/>
  <c r="H70" i="2" s="1"/>
  <c r="E70" i="2"/>
  <c r="G69" i="2"/>
  <c r="F69" i="2"/>
  <c r="H69" i="2" s="1"/>
  <c r="E69" i="2"/>
  <c r="G68" i="2"/>
  <c r="F68" i="2"/>
  <c r="H68" i="2" s="1"/>
  <c r="E68" i="2"/>
  <c r="G67" i="2"/>
  <c r="F67" i="2"/>
  <c r="H67" i="2" s="1"/>
  <c r="E67" i="2"/>
  <c r="G66" i="2"/>
  <c r="F66" i="2"/>
  <c r="H66" i="2" s="1"/>
  <c r="E66" i="2"/>
  <c r="G65" i="2"/>
  <c r="F65" i="2"/>
  <c r="E65" i="2"/>
  <c r="D63" i="2"/>
  <c r="C63" i="2"/>
  <c r="B63" i="2"/>
  <c r="E63" i="2" s="1"/>
  <c r="G62" i="2"/>
  <c r="F62" i="2"/>
  <c r="H62" i="2" s="1"/>
  <c r="E62" i="2"/>
  <c r="G61" i="2"/>
  <c r="F61" i="2"/>
  <c r="H61" i="2" s="1"/>
  <c r="E61" i="2"/>
  <c r="G60" i="2"/>
  <c r="F60" i="2"/>
  <c r="H60" i="2" s="1"/>
  <c r="E60" i="2"/>
  <c r="G59" i="2"/>
  <c r="F59" i="2"/>
  <c r="H59" i="2" s="1"/>
  <c r="E59" i="2"/>
  <c r="G58" i="2"/>
  <c r="F58" i="2"/>
  <c r="H58" i="2" s="1"/>
  <c r="E58" i="2"/>
  <c r="G57" i="2"/>
  <c r="F57" i="2"/>
  <c r="H57" i="2" s="1"/>
  <c r="E57" i="2"/>
  <c r="G56" i="2"/>
  <c r="F56" i="2"/>
  <c r="H56" i="2" s="1"/>
  <c r="E56" i="2"/>
  <c r="G55" i="2"/>
  <c r="F55" i="2"/>
  <c r="E55" i="2"/>
  <c r="G54" i="2"/>
  <c r="F54" i="2"/>
  <c r="H54" i="2" s="1"/>
  <c r="E54" i="2"/>
  <c r="D52" i="2"/>
  <c r="C52" i="2"/>
  <c r="B52" i="2"/>
  <c r="E52" i="2" s="1"/>
  <c r="G51" i="2"/>
  <c r="F51" i="2"/>
  <c r="H51" i="2" s="1"/>
  <c r="E51" i="2"/>
  <c r="G50" i="2"/>
  <c r="F50" i="2"/>
  <c r="H50" i="2" s="1"/>
  <c r="E50" i="2"/>
  <c r="G49" i="2"/>
  <c r="F49" i="2"/>
  <c r="H49" i="2" s="1"/>
  <c r="E49" i="2"/>
  <c r="G48" i="2"/>
  <c r="F48" i="2"/>
  <c r="H48" i="2" s="1"/>
  <c r="E48" i="2"/>
  <c r="G47" i="2"/>
  <c r="F47" i="2"/>
  <c r="H47" i="2" s="1"/>
  <c r="E47" i="2"/>
  <c r="G46" i="2"/>
  <c r="F46" i="2"/>
  <c r="H46" i="2" s="1"/>
  <c r="E46" i="2"/>
  <c r="G45" i="2"/>
  <c r="F45" i="2"/>
  <c r="H45" i="2" s="1"/>
  <c r="E45" i="2"/>
  <c r="G44" i="2"/>
  <c r="G52" i="2" s="1"/>
  <c r="F44" i="2"/>
  <c r="E44" i="2"/>
  <c r="D42" i="2"/>
  <c r="C42" i="2"/>
  <c r="B42" i="2"/>
  <c r="E42" i="2" s="1"/>
  <c r="G41" i="2"/>
  <c r="F41" i="2"/>
  <c r="H41" i="2" s="1"/>
  <c r="E41" i="2"/>
  <c r="G40" i="2"/>
  <c r="F40" i="2"/>
  <c r="H40" i="2" s="1"/>
  <c r="E40" i="2"/>
  <c r="G39" i="2"/>
  <c r="F39" i="2"/>
  <c r="H39" i="2" s="1"/>
  <c r="E39" i="2"/>
  <c r="G38" i="2"/>
  <c r="F38" i="2"/>
  <c r="H38" i="2" s="1"/>
  <c r="E38" i="2"/>
  <c r="G37" i="2"/>
  <c r="F37" i="2"/>
  <c r="H37" i="2" s="1"/>
  <c r="E37" i="2"/>
  <c r="G36" i="2"/>
  <c r="F36" i="2"/>
  <c r="E36" i="2"/>
  <c r="G35" i="2"/>
  <c r="F35" i="2"/>
  <c r="H35" i="2" s="1"/>
  <c r="E35" i="2"/>
  <c r="G34" i="2"/>
  <c r="F34" i="2"/>
  <c r="H34" i="2" s="1"/>
  <c r="E34" i="2"/>
  <c r="D32" i="2"/>
  <c r="C32" i="2"/>
  <c r="B32" i="2"/>
  <c r="E32" i="2" s="1"/>
  <c r="G31" i="2"/>
  <c r="F31" i="2"/>
  <c r="H31" i="2" s="1"/>
  <c r="E31" i="2"/>
  <c r="G30" i="2"/>
  <c r="F30" i="2"/>
  <c r="H30" i="2" s="1"/>
  <c r="E30" i="2"/>
  <c r="G29" i="2"/>
  <c r="F29" i="2"/>
  <c r="H29" i="2" s="1"/>
  <c r="E29" i="2"/>
  <c r="G28" i="2"/>
  <c r="F28" i="2"/>
  <c r="H28" i="2" s="1"/>
  <c r="E28" i="2"/>
  <c r="G27" i="2"/>
  <c r="F27" i="2"/>
  <c r="H27" i="2" s="1"/>
  <c r="E27" i="2"/>
  <c r="G26" i="2"/>
  <c r="F26" i="2"/>
  <c r="E26" i="2"/>
  <c r="G25" i="2"/>
  <c r="F25" i="2"/>
  <c r="H25" i="2" s="1"/>
  <c r="E25" i="2"/>
  <c r="G24" i="2"/>
  <c r="G32" i="2" s="1"/>
  <c r="F24" i="2"/>
  <c r="E24" i="2"/>
  <c r="G22" i="2"/>
  <c r="F22" i="2"/>
  <c r="H22" i="2" s="1"/>
  <c r="E22" i="2"/>
  <c r="G21" i="2"/>
  <c r="F21" i="2"/>
  <c r="H21" i="2" s="1"/>
  <c r="E21" i="2"/>
  <c r="G20" i="2"/>
  <c r="F20" i="2"/>
  <c r="H20" i="2" s="1"/>
  <c r="E20" i="2"/>
  <c r="D77" i="1"/>
  <c r="C77" i="1"/>
  <c r="B77" i="1"/>
  <c r="G76" i="1"/>
  <c r="F76" i="1"/>
  <c r="E76" i="1"/>
  <c r="G75" i="1"/>
  <c r="F75" i="1"/>
  <c r="E75" i="1"/>
  <c r="G74" i="1"/>
  <c r="F74" i="1"/>
  <c r="H74" i="1" s="1"/>
  <c r="E74" i="1"/>
  <c r="G73" i="1"/>
  <c r="F73" i="1"/>
  <c r="H73" i="1" s="1"/>
  <c r="E73" i="1"/>
  <c r="G72" i="1"/>
  <c r="F72" i="1"/>
  <c r="H72" i="1" s="1"/>
  <c r="E72" i="1"/>
  <c r="D71" i="1"/>
  <c r="C71" i="1"/>
  <c r="B71" i="1"/>
  <c r="E71" i="1" s="1"/>
  <c r="G70" i="1"/>
  <c r="F70" i="1"/>
  <c r="H70" i="1" s="1"/>
  <c r="E70" i="1"/>
  <c r="G69" i="1"/>
  <c r="F69" i="1"/>
  <c r="H69" i="1" s="1"/>
  <c r="E69" i="1"/>
  <c r="G68" i="1"/>
  <c r="F68" i="1"/>
  <c r="H68" i="1" s="1"/>
  <c r="E68" i="1"/>
  <c r="G67" i="1"/>
  <c r="F67" i="1"/>
  <c r="H67" i="1" s="1"/>
  <c r="E67" i="1"/>
  <c r="G66" i="1"/>
  <c r="G71" i="1" s="1"/>
  <c r="F66" i="1"/>
  <c r="E66" i="1"/>
  <c r="D64" i="1"/>
  <c r="C64" i="1"/>
  <c r="B64" i="1"/>
  <c r="E64" i="1" s="1"/>
  <c r="G63" i="1"/>
  <c r="F63" i="1"/>
  <c r="H63" i="1" s="1"/>
  <c r="E63" i="1"/>
  <c r="G62" i="1"/>
  <c r="F62" i="1"/>
  <c r="H62" i="1" s="1"/>
  <c r="E62" i="1"/>
  <c r="G61" i="1"/>
  <c r="F61" i="1"/>
  <c r="H61" i="1" s="1"/>
  <c r="E61" i="1"/>
  <c r="G60" i="1"/>
  <c r="F60" i="1"/>
  <c r="H60" i="1" s="1"/>
  <c r="E60" i="1"/>
  <c r="G59" i="1"/>
  <c r="G64" i="1" s="1"/>
  <c r="F59" i="1"/>
  <c r="E59" i="1"/>
  <c r="D58" i="1"/>
  <c r="C58" i="1"/>
  <c r="E58" i="1" s="1"/>
  <c r="B58" i="1"/>
  <c r="G57" i="1"/>
  <c r="F57" i="1"/>
  <c r="H57" i="1" s="1"/>
  <c r="E57" i="1"/>
  <c r="G56" i="1"/>
  <c r="F56" i="1"/>
  <c r="H56" i="1" s="1"/>
  <c r="E56" i="1"/>
  <c r="G55" i="1"/>
  <c r="F55" i="1"/>
  <c r="H55" i="1" s="1"/>
  <c r="E55" i="1"/>
  <c r="G54" i="1"/>
  <c r="F54" i="1"/>
  <c r="H54" i="1" s="1"/>
  <c r="E54" i="1"/>
  <c r="G53" i="1"/>
  <c r="G58" i="1" s="1"/>
  <c r="F53" i="1"/>
  <c r="E53" i="1"/>
  <c r="D51" i="1"/>
  <c r="C51" i="1"/>
  <c r="B51" i="1"/>
  <c r="E51" i="1" s="1"/>
  <c r="G50" i="1"/>
  <c r="F50" i="1"/>
  <c r="H50" i="1" s="1"/>
  <c r="E50" i="1"/>
  <c r="G49" i="1"/>
  <c r="F49" i="1"/>
  <c r="H49" i="1" s="1"/>
  <c r="E49" i="1"/>
  <c r="G48" i="1"/>
  <c r="F48" i="1"/>
  <c r="H48" i="1" s="1"/>
  <c r="E48" i="1"/>
  <c r="G47" i="1"/>
  <c r="F47" i="1"/>
  <c r="H47" i="1" s="1"/>
  <c r="E47" i="1"/>
  <c r="G46" i="1"/>
  <c r="G51" i="1" s="1"/>
  <c r="F46" i="1"/>
  <c r="E46" i="1"/>
  <c r="G45" i="1"/>
  <c r="F45" i="1"/>
  <c r="H45" i="1" s="1"/>
  <c r="E45" i="1"/>
  <c r="D43" i="1"/>
  <c r="C43" i="1"/>
  <c r="B43" i="1"/>
  <c r="E43" i="1" s="1"/>
  <c r="G42" i="1"/>
  <c r="F42" i="1"/>
  <c r="H42" i="1" s="1"/>
  <c r="E42" i="1"/>
  <c r="G41" i="1"/>
  <c r="F41" i="1"/>
  <c r="H41" i="1" s="1"/>
  <c r="E41" i="1"/>
  <c r="G40" i="1"/>
  <c r="G43" i="1" s="1"/>
  <c r="F40" i="1"/>
  <c r="E40" i="1"/>
  <c r="G39" i="1"/>
  <c r="F39" i="1"/>
  <c r="H39" i="1" s="1"/>
  <c r="E39" i="1"/>
  <c r="G38" i="1"/>
  <c r="F38" i="1"/>
  <c r="H38" i="1" s="1"/>
  <c r="E38" i="1"/>
  <c r="D36" i="1"/>
  <c r="C36" i="1"/>
  <c r="B36" i="1"/>
  <c r="E36" i="1" s="1"/>
  <c r="G35" i="1"/>
  <c r="F35" i="1"/>
  <c r="H35" i="1" s="1"/>
  <c r="E35" i="1"/>
  <c r="G34" i="1"/>
  <c r="F34" i="1"/>
  <c r="H34" i="1" s="1"/>
  <c r="E34" i="1"/>
  <c r="G33" i="1"/>
  <c r="F33" i="1"/>
  <c r="H33" i="1" s="1"/>
  <c r="E33" i="1"/>
  <c r="G32" i="1"/>
  <c r="F32" i="1"/>
  <c r="H32" i="1" s="1"/>
  <c r="E32" i="1"/>
  <c r="G31" i="1"/>
  <c r="G36" i="1" s="1"/>
  <c r="F31" i="1"/>
  <c r="E31" i="1"/>
  <c r="D29" i="1"/>
  <c r="C29" i="1"/>
  <c r="B29" i="1"/>
  <c r="E29" i="1" s="1"/>
  <c r="G28" i="1"/>
  <c r="F28" i="1"/>
  <c r="H28" i="1" s="1"/>
  <c r="E28" i="1"/>
  <c r="G27" i="1"/>
  <c r="F27" i="1"/>
  <c r="H27" i="1" s="1"/>
  <c r="E27" i="1"/>
  <c r="G26" i="1"/>
  <c r="F26" i="1"/>
  <c r="H26" i="1" s="1"/>
  <c r="E26" i="1"/>
  <c r="G25" i="1"/>
  <c r="F25" i="1"/>
  <c r="H25" i="1" s="1"/>
  <c r="E25" i="1"/>
  <c r="G24" i="1"/>
  <c r="G29" i="1" s="1"/>
  <c r="F24" i="1"/>
  <c r="E24" i="1"/>
  <c r="G22" i="1"/>
  <c r="F22" i="1"/>
  <c r="H22" i="1" s="1"/>
  <c r="E22" i="1"/>
  <c r="G21" i="1"/>
  <c r="F21" i="1"/>
  <c r="H21" i="1" s="1"/>
  <c r="E21" i="1"/>
  <c r="G20" i="1"/>
  <c r="F20" i="1"/>
  <c r="H20" i="1" s="1"/>
  <c r="E20" i="1"/>
  <c r="H31" i="6" l="1"/>
  <c r="G42" i="2"/>
  <c r="H26" i="2"/>
  <c r="G92" i="2"/>
  <c r="G82" i="2"/>
  <c r="E77" i="1"/>
  <c r="G63" i="2"/>
  <c r="H76" i="1"/>
  <c r="G77" i="1"/>
  <c r="H65" i="2"/>
  <c r="F73" i="2"/>
  <c r="H53" i="1"/>
  <c r="H58" i="1" s="1"/>
  <c r="F58" i="1"/>
  <c r="F101" i="2"/>
  <c r="H93" i="2"/>
  <c r="H101" i="2" s="1"/>
  <c r="F92" i="2"/>
  <c r="H90" i="2"/>
  <c r="H92" i="2" s="1"/>
  <c r="H74" i="2"/>
  <c r="H82" i="2" s="1"/>
  <c r="F82" i="2"/>
  <c r="H72" i="2"/>
  <c r="H73" i="2" s="1"/>
  <c r="G73" i="2"/>
  <c r="F63" i="2"/>
  <c r="H55" i="2"/>
  <c r="H63" i="2" s="1"/>
  <c r="F52" i="2"/>
  <c r="H44" i="2"/>
  <c r="H52" i="2" s="1"/>
  <c r="H36" i="2"/>
  <c r="H42" i="2" s="1"/>
  <c r="F42" i="2"/>
  <c r="F32" i="2"/>
  <c r="H24" i="2"/>
  <c r="F77" i="1"/>
  <c r="H75" i="1"/>
  <c r="F71" i="1"/>
  <c r="H66" i="1"/>
  <c r="H71" i="1" s="1"/>
  <c r="H59" i="1"/>
  <c r="H64" i="1" s="1"/>
  <c r="F64" i="1"/>
  <c r="H46" i="1"/>
  <c r="H51" i="1" s="1"/>
  <c r="F51" i="1"/>
  <c r="F43" i="1"/>
  <c r="H40" i="1"/>
  <c r="H43" i="1" s="1"/>
  <c r="F36" i="1"/>
  <c r="H31" i="1"/>
  <c r="H36" i="1" s="1"/>
  <c r="F29" i="1"/>
  <c r="H24" i="1"/>
  <c r="H29" i="1" s="1"/>
  <c r="H32" i="2" l="1"/>
  <c r="H77" i="1"/>
</calcChain>
</file>

<file path=xl/sharedStrings.xml><?xml version="1.0" encoding="utf-8"?>
<sst xmlns="http://schemas.openxmlformats.org/spreadsheetml/2006/main" count="679" uniqueCount="372">
  <si>
    <t>Experiment</t>
  </si>
  <si>
    <t>E1 v2 core -- example-sensitivity pilot</t>
  </si>
  <si>
    <t>Sub-element (Arabic)</t>
  </si>
  <si>
    <t>استعارة فعل</t>
  </si>
  <si>
    <t>Sub-element (English)</t>
  </si>
  <si>
    <t>verbal metaphor (subtype of استعارة/metaphor, umbrella مجاز/trope)</t>
  </si>
  <si>
    <t>Prompt version(s)</t>
  </si>
  <si>
    <t>Z (zero-shot), A/B/C/D/D2 (five few-shot example-set variants)</t>
  </si>
  <si>
    <t>Pool</t>
  </si>
  <si>
    <t>eval_pool_25.json -- 25 poems, seed=43</t>
  </si>
  <si>
    <t>Number of poems</t>
  </si>
  <si>
    <t>Number of verse-units</t>
  </si>
  <si>
    <t>Number of positive verses</t>
  </si>
  <si>
    <t>Number of negative verses</t>
  </si>
  <si>
    <t>Positive rate</t>
  </si>
  <si>
    <t>Calls per cell</t>
  </si>
  <si>
    <t>Runs per cell</t>
  </si>
  <si>
    <t>Models (provider: requested model_id)</t>
  </si>
  <si>
    <t>anthropic: claude-sonnet-4-6; openai: gpt-5.4-mini; google: gemini-3.5-flash (requested only -- no model_version logged in manifest; see Notes sheet re: 3.5 vs 3.6)</t>
  </si>
  <si>
    <t>Cost (this sheet's sets)</t>
  </si>
  <si>
    <t>$20.3288</t>
  </si>
  <si>
    <t>Run date(s)</t>
  </si>
  <si>
    <t>2026-10-11 to 2026-10-16</t>
  </si>
  <si>
    <t>Metric note</t>
  </si>
  <si>
    <t>Verse = primary metric (user decision). CLAUDE.md rule 4 caveat: verse-level alone can reward exists=True regardless of whether the predicted span is actually correct -- see Notes sheet.</t>
  </si>
  <si>
    <t>Model/Condition</t>
  </si>
  <si>
    <t>TP</t>
  </si>
  <si>
    <t>FP</t>
  </si>
  <si>
    <t>FN</t>
  </si>
  <si>
    <t>TN</t>
  </si>
  <si>
    <t>P</t>
  </si>
  <si>
    <t>R</t>
  </si>
  <si>
    <t>F1</t>
  </si>
  <si>
    <t>Notes</t>
  </si>
  <si>
    <t>Single models -- zero-shot (Z)</t>
  </si>
  <si>
    <t>Claude / zero-shot (Z)</t>
  </si>
  <si>
    <t>GPT / zero-shot (Z)</t>
  </si>
  <si>
    <t>Gemini / zero-shot (Z)</t>
  </si>
  <si>
    <t>Claude -- few-shot sets (A/B/C/D/D2)</t>
  </si>
  <si>
    <t>Claude / few-shot A</t>
  </si>
  <si>
    <t>Claude / few-shot B</t>
  </si>
  <si>
    <t>Claude / few-shot C</t>
  </si>
  <si>
    <t>Known outlier set (homogeneous-root) per DESIGN_CHOICE_GPTZ_CLAUDEFS.md Part 2</t>
  </si>
  <si>
    <t>Claude / few-shot D</t>
  </si>
  <si>
    <t>Claude / few-shot D2</t>
  </si>
  <si>
    <t>Claude / few-shot MEAN over 5 sets</t>
  </si>
  <si>
    <t>Mean of per-set P/R/F1 (not pooled counts); range F1 [0.416, 0.576] (min=C, max=A).</t>
  </si>
  <si>
    <t>GPT -- few-shot sets (A/B/C/D/D2)</t>
  </si>
  <si>
    <t>GPT / few-shot A</t>
  </si>
  <si>
    <t>GPT / few-shot B</t>
  </si>
  <si>
    <t>GPT / few-shot C</t>
  </si>
  <si>
    <t>GPT / few-shot D</t>
  </si>
  <si>
    <t>GPT / few-shot D2</t>
  </si>
  <si>
    <t>GPT / few-shot MEAN over 5 sets</t>
  </si>
  <si>
    <t>Mean of per-set P/R/F1 (not pooled counts); range F1 [0.437, 0.541] (min=C, max=A).</t>
  </si>
  <si>
    <t>Gemini -- few-shot sets (A/B/C/D/D2)</t>
  </si>
  <si>
    <t>Gemini / few-shot A</t>
  </si>
  <si>
    <t>Gemini / few-shot B</t>
  </si>
  <si>
    <t>Gemini / few-shot C</t>
  </si>
  <si>
    <t>Gemini / few-shot D</t>
  </si>
  <si>
    <t>Gemini / few-shot D2</t>
  </si>
  <si>
    <t>Gemini / few-shot MEAN over 5 sets</t>
  </si>
  <si>
    <t>Mean of per-set P/R/F1 (not pooled counts); range F1 [0.481, 0.511] (min=C, max=A).</t>
  </si>
  <si>
    <t>Ensemble (majority vote across Claude/GPT/Gemini)</t>
  </si>
  <si>
    <t>ENSEMBLE (2-of-3) / zero</t>
  </si>
  <si>
    <t>ENSEMBLE (2-of-3) / few [A]</t>
  </si>
  <si>
    <t>ENSEMBLE (2-of-3) / few [B]</t>
  </si>
  <si>
    <t>ENSEMBLE (2-of-3) / few [C]</t>
  </si>
  <si>
    <t>ENSEMBLE (2-of-3) / few [D]</t>
  </si>
  <si>
    <t>ENSEMBLE (2-of-3) / few [D2]</t>
  </si>
  <si>
    <t>ENSEMBLE (2-of-3) / few MEAN over 5 sets</t>
  </si>
  <si>
    <t>Mean of per-set P/R/F1.</t>
  </si>
  <si>
    <t>Top 3 by recall (chosen: GPT-Z (R=0.732), Claude-FS (R=0.685), GPT-FS (R=0.644))</t>
  </si>
  <si>
    <t>Top 3 models ENSEMBLE (2-of-3) [A]</t>
  </si>
  <si>
    <t>Chosen 3: GPT-Z (R=0.732), Claude-FS (R=0.685), GPT-FS (R=0.644)</t>
  </si>
  <si>
    <t>Top 3 models ENSEMBLE (2-of-3) [B]</t>
  </si>
  <si>
    <t>Top 3 models ENSEMBLE (2-of-3) [C]</t>
  </si>
  <si>
    <t>Top 3 models ENSEMBLE (2-of-3) [D]</t>
  </si>
  <si>
    <t>Top 3 models ENSEMBLE (2-of-3) [D2]</t>
  </si>
  <si>
    <t>Top 3 models ENSEMBLE (2-of-3) MEAN over 5 sets</t>
  </si>
  <si>
    <t>Top 3 models ENSEMBLE (1-of-3) [A]</t>
  </si>
  <si>
    <t>Top 3 models ENSEMBLE (1-of-3) [B]</t>
  </si>
  <si>
    <t>Top 3 models ENSEMBLE (1-of-3) [C]</t>
  </si>
  <si>
    <t>Top 3 models ENSEMBLE (1-of-3) [D]</t>
  </si>
  <si>
    <t>Top 3 models ENSEMBLE (1-of-3) [D2]</t>
  </si>
  <si>
    <t>Top 3 models ENSEMBLE (1-of-3) MEAN over 5 sets</t>
  </si>
  <si>
    <t>1-of-3 = positive if ANY of the 3 chosen configs says true. Ranking by recall favors liberal configurations; the 1-of-3 OR typically trades precision for recall.</t>
  </si>
  <si>
    <t>GPT-Z + Claude-FS combination</t>
  </si>
  <si>
    <t>GPT-Z OR Claude-FS [A]</t>
  </si>
  <si>
    <t>GPT-Z OR Claude-FS [B]</t>
  </si>
  <si>
    <t>GPT-Z OR Claude-FS [C]</t>
  </si>
  <si>
    <t>GPT-Z OR Claude-FS [D]</t>
  </si>
  <si>
    <t>GPT-Z OR Claude-FS [D2]</t>
  </si>
  <si>
    <t>GPT-Z OR Claude-FS MEAN over 5 sets</t>
  </si>
  <si>
    <t>GPT-Z AND Claude-FS [A]</t>
  </si>
  <si>
    <t>GPT-Z AND Claude-FS [B]</t>
  </si>
  <si>
    <t>GPT-Z AND Claude-FS [C]</t>
  </si>
  <si>
    <t>GPT-Z AND Claude-FS [D]</t>
  </si>
  <si>
    <t>GPT-Z AND Claude-FS [D2]</t>
  </si>
  <si>
    <t>GPT-Z AND Claude-FS MEAN over 5 sets</t>
  </si>
  <si>
    <t>Poet-era &amp; quartile few-shot sensitivity (M1/M2/E1/E2/H1/H2 'same-half' labels as in E1_V2_ERAS_FEWSHOT.md, plus Q1/Q2 quartile sets)</t>
  </si>
  <si>
    <t>verbal metaphor</t>
  </si>
  <si>
    <t>Z (reused from E1v2 core) + M1/M2/E1/E2/H1/H2/Q1/Q2 few-shot example-set variants</t>
  </si>
  <si>
    <t>eval_pool_25.json -- SAME pool as E1v2 core (25 poems, seed=43)</t>
  </si>
  <si>
    <t>Models</t>
  </si>
  <si>
    <t>anthropic: claude-sonnet-4-6; openai: gpt-5.4-mini; google: gemini-3.5-flash (requested; no model_version logged)</t>
  </si>
  <si>
    <t>Cost (this sheet's sets, excl. Z already counted on E1v2 Core)</t>
  </si>
  <si>
    <t>$24.8324</t>
  </si>
  <si>
    <t>2026-10-11 to 2026-10-25</t>
  </si>
  <si>
    <t>Single models -- zero-shot (Z, same pool as E1v2 core)</t>
  </si>
  <si>
    <t>Claude -- era/quartile few-shot sets</t>
  </si>
  <si>
    <t>Claude / few-shot M1</t>
  </si>
  <si>
    <t>Claude / few-shot M2</t>
  </si>
  <si>
    <t>Claude / few-shot E1</t>
  </si>
  <si>
    <t>Claude / few-shot E2</t>
  </si>
  <si>
    <t>Claude / few-shot H1</t>
  </si>
  <si>
    <t>Claude / few-shot H2</t>
  </si>
  <si>
    <t>Claude / few-shot Q1</t>
  </si>
  <si>
    <t>Claude / few-shot Q2</t>
  </si>
  <si>
    <t>Claude / few-shot MEAN over 8 sets</t>
  </si>
  <si>
    <t>Mean of per-set P/R/F1; range F1 [0.445, 0.588] (min=Q1, max=Q2).</t>
  </si>
  <si>
    <t>GPT -- era/quartile few-shot sets</t>
  </si>
  <si>
    <t>GPT / few-shot M1</t>
  </si>
  <si>
    <t>GPT / few-shot M2</t>
  </si>
  <si>
    <t>GPT / few-shot E1</t>
  </si>
  <si>
    <t>GPT / few-shot E2</t>
  </si>
  <si>
    <t>GPT / few-shot H1</t>
  </si>
  <si>
    <t>GPT / few-shot H2</t>
  </si>
  <si>
    <t>GPT / few-shot Q1</t>
  </si>
  <si>
    <t>GPT / few-shot Q2</t>
  </si>
  <si>
    <t>GPT / few-shot MEAN over 8 sets</t>
  </si>
  <si>
    <t>Mean of per-set P/R/F1; range F1 [0.453, 0.536] (min=Q1, max=M2).</t>
  </si>
  <si>
    <t>Gemini -- era/quartile few-shot sets</t>
  </si>
  <si>
    <t>Gemini / few-shot M1</t>
  </si>
  <si>
    <t>Gemini / few-shot M2</t>
  </si>
  <si>
    <t>Gemini / few-shot E1</t>
  </si>
  <si>
    <t>Gemini / few-shot E2</t>
  </si>
  <si>
    <t>Gemini / few-shot H1</t>
  </si>
  <si>
    <t>Gemini / few-shot H2</t>
  </si>
  <si>
    <t>Gemini / few-shot Q1</t>
  </si>
  <si>
    <t>Gemini / few-shot Q2</t>
  </si>
  <si>
    <t>Gemini / few-shot MEAN over 8 sets</t>
  </si>
  <si>
    <t>Mean of per-set P/R/F1; range F1 [0.410, 0.548] (min=E1, max=E2).</t>
  </si>
  <si>
    <t>Identical to E1v2 Core sheet's Z row (same pool/data).</t>
  </si>
  <si>
    <t>ENSEMBLE (2-of-3) / few [M1]</t>
  </si>
  <si>
    <t>ENSEMBLE (2-of-3) / few [M2]</t>
  </si>
  <si>
    <t>ENSEMBLE (2-of-3) / few [E1]</t>
  </si>
  <si>
    <t>ENSEMBLE (2-of-3) / few [E2]</t>
  </si>
  <si>
    <t>ENSEMBLE (2-of-3) / few [H1]</t>
  </si>
  <si>
    <t>ENSEMBLE (2-of-3) / few [H2]</t>
  </si>
  <si>
    <t>ENSEMBLE (2-of-3) / few [Q1]</t>
  </si>
  <si>
    <t>ENSEMBLE (2-of-3) / few [Q2]</t>
  </si>
  <si>
    <t>ENSEMBLE (2-of-3) / few MEAN over 8 sets</t>
  </si>
  <si>
    <t>Top 3 by recall (chosen: GPT-Z (R=0.732), Claude-FS (R=0.618), GPT-FS (R=0.591))</t>
  </si>
  <si>
    <t>Top 3 models ENSEMBLE (2-of-3) [M1]</t>
  </si>
  <si>
    <t>Chosen 3: GPT-Z (R=0.732), Claude-FS (R=0.618), GPT-FS (R=0.591)</t>
  </si>
  <si>
    <t>Top 3 models ENSEMBLE (2-of-3) [M2]</t>
  </si>
  <si>
    <t>Top 3 models ENSEMBLE (2-of-3) [E1]</t>
  </si>
  <si>
    <t>Top 3 models ENSEMBLE (2-of-3) [E2]</t>
  </si>
  <si>
    <t>Top 3 models ENSEMBLE (2-of-3) [H1]</t>
  </si>
  <si>
    <t>Top 3 models ENSEMBLE (2-of-3) [H2]</t>
  </si>
  <si>
    <t>Top 3 models ENSEMBLE (2-of-3) [Q1]</t>
  </si>
  <si>
    <t>Top 3 models ENSEMBLE (2-of-3) [Q2]</t>
  </si>
  <si>
    <t>Top 3 models ENSEMBLE (2-of-3) MEAN over 8 sets</t>
  </si>
  <si>
    <t>Top 3 models ENSEMBLE (1-of-3) [M1]</t>
  </si>
  <si>
    <t>Top 3 models ENSEMBLE (1-of-3) [M2]</t>
  </si>
  <si>
    <t>Top 3 models ENSEMBLE (1-of-3) [E1]</t>
  </si>
  <si>
    <t>Top 3 models ENSEMBLE (1-of-3) [E2]</t>
  </si>
  <si>
    <t>Top 3 models ENSEMBLE (1-of-3) [H1]</t>
  </si>
  <si>
    <t>Top 3 models ENSEMBLE (1-of-3) [H2]</t>
  </si>
  <si>
    <t>Top 3 models ENSEMBLE (1-of-3) [Q1]</t>
  </si>
  <si>
    <t>Top 3 models ENSEMBLE (1-of-3) [Q2]</t>
  </si>
  <si>
    <t>Top 3 models ENSEMBLE (1-of-3) MEAN over 8 sets</t>
  </si>
  <si>
    <t>1-of-3 = positive if ANY of the 3 chosen configs says true.</t>
  </si>
  <si>
    <t>GPT-Z OR Claude-FS [M1]</t>
  </si>
  <si>
    <t>GPT-Z OR Claude-FS [M2]</t>
  </si>
  <si>
    <t>GPT-Z OR Claude-FS [E1]</t>
  </si>
  <si>
    <t>GPT-Z OR Claude-FS [E2]</t>
  </si>
  <si>
    <t>GPT-Z OR Claude-FS [H1]</t>
  </si>
  <si>
    <t>GPT-Z OR Claude-FS [H2]</t>
  </si>
  <si>
    <t>GPT-Z OR Claude-FS [Q1]</t>
  </si>
  <si>
    <t>GPT-Z OR Claude-FS [Q2]</t>
  </si>
  <si>
    <t>GPT-Z OR Claude-FS MEAN over 8 sets</t>
  </si>
  <si>
    <t>GPT-Z AND Claude-FS [M1]</t>
  </si>
  <si>
    <t>GPT-Z AND Claude-FS [M2]</t>
  </si>
  <si>
    <t>GPT-Z AND Claude-FS [E1]</t>
  </si>
  <si>
    <t>GPT-Z AND Claude-FS [E2]</t>
  </si>
  <si>
    <t>GPT-Z AND Claude-FS [H1]</t>
  </si>
  <si>
    <t>GPT-Z AND Claude-FS [H2]</t>
  </si>
  <si>
    <t>GPT-Z AND Claude-FS [Q1]</t>
  </si>
  <si>
    <t>GPT-Z AND Claude-FS [Q2]</t>
  </si>
  <si>
    <t>GPT-Z AND Claude-FS MEAN over 8 sets</t>
  </si>
  <si>
    <t>Multi-poet few-shot (F5 vs F10): does the NUMBER of few-shot examples matter?</t>
  </si>
  <si>
    <t>F5 (5 examples, 5 different poets) / F10 (10 examples, 10 different poets, F5's 5 poets included) -- zero-shot (Z) not run on this pool</t>
  </si>
  <si>
    <t>eval_pool_50_multipoet.json -- DIFFERENT 50-poem pool (only partial overlap with eval_pool_25.json)</t>
  </si>
  <si>
    <t>$28.0272</t>
  </si>
  <si>
    <t>2026-10-22 to 2026-10-22</t>
  </si>
  <si>
    <t>Verse = primary metric (user decision). CLAUDE.md rule 4 caveat: verse-level alone can reward exists=True regardless of whether the predicted span is actually correct -- see Notes sheet. Different pool than every other E1v2 sheet -- do not compare F5/F10 F1 directly against Z/A/B/.../Q2.</t>
  </si>
  <si>
    <t>Single models -- F5 (5 examples, 5 poets)</t>
  </si>
  <si>
    <t>Claude / few-shot F5</t>
  </si>
  <si>
    <t>GPT / few-shot F5</t>
  </si>
  <si>
    <t>Gemini / few-shot F5</t>
  </si>
  <si>
    <t>Single models -- F10 (10 examples, F5's 5 poets included)</t>
  </si>
  <si>
    <t>Claude / few-shot F10</t>
  </si>
  <si>
    <t>GPT / few-shot F10</t>
  </si>
  <si>
    <t>Gemini / few-shot F10</t>
  </si>
  <si>
    <t>Adaptation note</t>
  </si>
  <si>
    <t>No MEAN(F5,F10) row -- see adaptation note</t>
  </si>
  <si>
    <t>N/A</t>
  </si>
  <si>
    <t>F5 and F10 are two DIFFERENT designs (5 vs 10 few-shot examples), not replicate draws of the same condition -- unlike A/B/C/D/D2 on the core sheet, averaging them would not estimate example-set robustness. Shown as two separate rows per model instead, per this sheet's task-level adaptation instruction.</t>
  </si>
  <si>
    <t>GPT-Z OR/AND Claude-FS: N/A on this sheet</t>
  </si>
  <si>
    <t>Zero-shot (Z) was never run on the 50-poem multi-poet pool -- GPT-Z does not exist here.</t>
  </si>
  <si>
    <t>Ensemble (majority vote across Claude/GPT/Gemini), per set</t>
  </si>
  <si>
    <t>ENSEMBLE (2-of-3) / few [F5]</t>
  </si>
  <si>
    <t>ENSEMBLE (2-of-3) / few [F10]</t>
  </si>
  <si>
    <t>Top 3 by recall among the 6 (model x F5/F10) configs: Claude-F10 (R=0.831), Claude-F5 (R=0.688), Gemini-F10 (R=0.637)</t>
  </si>
  <si>
    <t>Top 3 models ENSEMBLE (2-of-3)</t>
  </si>
  <si>
    <t>Chosen 3: Claude-F10 (R=0.831), Claude-F5 (R=0.688), Gemini-F10 (R=0.637). Each chosen config already names its own exact set (F5 or F10), so no per-set/MEAN split is needed here (unlike the core/eras sheets).</t>
  </si>
  <si>
    <t>Top 3 models ENSEMBLE (1-of-3)</t>
  </si>
  <si>
    <t>Claude Opus 5.5 vs the 3-model panel, set A only</t>
  </si>
  <si>
    <t>Z (3 base models, reused) + A (3 base models + Opus 5.5, reused/new)</t>
  </si>
  <si>
    <t>eval_pool_25.json -- SAME pool as E1v2 core</t>
  </si>
  <si>
    <t>anthropic_opus: claude-opus-5-5 (set A only; no zero-shot run for Opus)</t>
  </si>
  <si>
    <t>Cost (Opus calls only; base-3-model cost already counted on E1v2 Core)</t>
  </si>
  <si>
    <t>$4.3157</t>
  </si>
  <si>
    <t>2026-10-16 to 2026-10-16</t>
  </si>
  <si>
    <t>Single models -- zero-shot (Z, reused from E1v2 core)</t>
  </si>
  <si>
    <t>Single models -- few-shot (set A, reused from E1v2 core)</t>
  </si>
  <si>
    <t>Opus 5.5 / few-shot A</t>
  </si>
  <si>
    <t>Opus 5.5 ran on set A only -- no zero-shot condition.</t>
  </si>
  <si>
    <t>Ensemble (majority vote), reused from E1v2 core / analysis_report_ensemble.json</t>
  </si>
  <si>
    <t>3 base models only (Claude/GPT/Gemini), Opus not included.</t>
  </si>
  <si>
    <t>3 base models only, Opus not included.</t>
  </si>
  <si>
    <t>Top 3 by recall among the 7 configs (3xZ + 3xA + Opus-A): Claude-A (R=0.819), GPT-Z (R=0.732), GPT-A (R=0.677)</t>
  </si>
  <si>
    <t>Chosen 3: Claude-A (R=0.819), GPT-Z (R=0.732), GPT-A (R=0.677).</t>
  </si>
  <si>
    <t>GPT-Z + Claude-FS[A] combination</t>
  </si>
  <si>
    <t>GPT-Z OR Claude-FS[A]</t>
  </si>
  <si>
    <t>GPT-Z AND Claude-FS[A]</t>
  </si>
  <si>
    <t>Phase 7 subtype check -- استعارة قديمة</t>
  </si>
  <si>
    <t>استعارة قديمة</t>
  </si>
  <si>
    <t>archaic/lexicalized metaphor (subtype of استعارة/metaphor)</t>
  </si>
  <si>
    <t>zero-shot / few-shot (2 worked examples)</t>
  </si>
  <si>
    <t>eval_pool_25.json -- SAME pool as E1v2 core (25 poems, 327 verse-units)</t>
  </si>
  <si>
    <t>Cost (this subtype)</t>
  </si>
  <si>
    <t>$5.6210</t>
  </si>
  <si>
    <t>2026-10-29 to 2026-10-29</t>
  </si>
  <si>
    <t>Pool-positive floor status</t>
  </si>
  <si>
    <t>n=15 -- INDICATIVE ONLY: pool positives &lt; 30 (this project's own floor), read every number here as 'what happened on this one 25-poem sample', not a generalizable estimate.</t>
  </si>
  <si>
    <t>Single models -- zero-shot</t>
  </si>
  <si>
    <t>Claude / zero-shot</t>
  </si>
  <si>
    <t>GPT / zero-shot</t>
  </si>
  <si>
    <t>Gemini / zero-shot</t>
  </si>
  <si>
    <t>Single models -- few-shot (1 condition; no multi-set MEAN on this sheet)</t>
  </si>
  <si>
    <t>Claude / few-shot</t>
  </si>
  <si>
    <t>GPT / few-shot</t>
  </si>
  <si>
    <t>Gemini / few-shot</t>
  </si>
  <si>
    <t>No few-shot MEAN row on this sheet</t>
  </si>
  <si>
    <t>Phase 7 ran exactly ONE few-shot condition per model for this subtype (2 worked examples, fixed) -- there is no family of interchangeable few-shot example sets to average, unlike the E1v2 Core/Eras sheets.</t>
  </si>
  <si>
    <t>Ensemble (majority vote), reused from analysis_report_phase7.json</t>
  </si>
  <si>
    <t>ENSEMBLE (2-of-3) / few</t>
  </si>
  <si>
    <t>Top 3 by recall among the 6 (model x zero/few) configs: Gemini-FS (R=0.800), Claude-FS (R=0.600), Gemini-Z (R=0.533)</t>
  </si>
  <si>
    <t>Chosen 3: Gemini-FS (R=0.800), Claude-FS (R=0.600), Gemini-Z (R=0.533).</t>
  </si>
  <si>
    <t>GPT-Z + Claude-FS combination (reused from analysis_report_phase7.json)</t>
  </si>
  <si>
    <t>GPT-Z OR Claude-FS</t>
  </si>
  <si>
    <t>GPT-Z AND Claude-FS</t>
  </si>
  <si>
    <t>Phase 7 subtype check -- كناية عن صفة</t>
  </si>
  <si>
    <t>كناية عن صفة</t>
  </si>
  <si>
    <t>periphrasis about an attribute/trait (subtype of كناية/periphrasis)</t>
  </si>
  <si>
    <t>$5.1395</t>
  </si>
  <si>
    <t>n=49 -- above the n=30 pool-positive floor.</t>
  </si>
  <si>
    <t>Top 3 by recall among the 6 (model x zero/few) configs: GPT-Z (R=0.857), Gemini-FS (R=0.551), Claude-FS (R=0.490)</t>
  </si>
  <si>
    <t>Chosen 3: GPT-Z (R=0.857), Gemini-FS (R=0.551), Claude-FS (R=0.490).</t>
  </si>
  <si>
    <t>Phase 7 subtype check -- تشبيه قصير</t>
  </si>
  <si>
    <t>تشبيه قصير</t>
  </si>
  <si>
    <t>short simile (subtype of تشبيه/simile)</t>
  </si>
  <si>
    <t>$4.7925</t>
  </si>
  <si>
    <t>n=13 -- INDICATIVE ONLY: pool positives &lt; 30 (this project's own floor), read every number here as 'what happened on this one 25-poem sample', not a generalizable estimate.</t>
  </si>
  <si>
    <t>Top 3 by recall among the 6 (model x zero/few) configs: GPT-Z (R=0.692), GPT-FS (R=0.692), Claude-Z (R=0.615)</t>
  </si>
  <si>
    <t>Chosen 3: GPT-Z (R=0.692), GPT-FS (R=0.692), Claude-Z (R=0.615).</t>
  </si>
  <si>
    <t>Phase 7 subtype check -- تشبيه مطول</t>
  </si>
  <si>
    <t>تشبيه مطول</t>
  </si>
  <si>
    <t>extended/elaborated simile (subtype of تشبيه/simile)</t>
  </si>
  <si>
    <t>$5.1824</t>
  </si>
  <si>
    <t>n=25 -- INDICATIVE ONLY: pool positives &lt; 30 (this project's own floor), read every number here as 'what happened on this one 25-poem sample', not a generalizable estimate.</t>
  </si>
  <si>
    <t>Top 3 by recall among the 6 (model x zero/few) configs: GPT-FS (R=0.800), GPT-Z (R=0.600), Claude-Z (R=0.520)</t>
  </si>
  <si>
    <t>Chosen 3: GPT-FS (R=0.800), GPT-Z (R=0.600), Claude-Z (R=0.520).</t>
  </si>
  <si>
    <t>Phase 1 FROZEN -- TEST run (span-level, strict criterion), NOT comparable to any other sheet in this workbook</t>
  </si>
  <si>
    <t>مجاز (Phase 1 terminology: 'Trope')</t>
  </si>
  <si>
    <t>Trope -- the FULL umbrella category (استعارة + تمثيل + مجاز مرسل pooled), not a single subtype like every other sheet here</t>
  </si>
  <si>
    <t>baseline vs v4_combined (whole-poem prompts, Phase 1 terminology/method -- NOT the Phase 4/7 per-verse subtype prompt)</t>
  </si>
  <si>
    <t>TEST poems: Imru1, Jarir, Abu_Tammam (3 poems, frozen, SPENT -- PROJECT_STATE.md section 2)</t>
  </si>
  <si>
    <t>n/a -- SPAN-level scoring (multi-instance per verse possible), not a per-verse binary classification like every other sheet; TN is not a meaningful concept here and is omitted (task: 'only the columns that exist')</t>
  </si>
  <si>
    <t>Number of positive (ground-truth) instances</t>
  </si>
  <si>
    <t>Metric</t>
  </si>
  <si>
    <t>Span-level, STRICT matching criterion, 2-run majority (PROJECT_STATE.md rule 2/4) -- NOT verse-level. This is the one sheet in this workbook that is not verse-level.</t>
  </si>
  <si>
    <t>Comparability warning</t>
  </si>
  <si>
    <t>Different prompt, different element scope (umbrella Trope vs a single subtype), different pool, different metric (span/strict vs verse) from every other sheet. Copied verbatim from PROJECT_STATE.md section 3a and verified against that file's text programmatically (see script). DO NOT compare these F1 values directly against any other sheet.</t>
  </si>
  <si>
    <t>Source</t>
  </si>
  <si>
    <t>PROJECT_STATE.md section 3a (frozen 2026-07-21)</t>
  </si>
  <si>
    <t>baseline prompt</t>
  </si>
  <si>
    <t>Claude / baseline</t>
  </si>
  <si>
    <t>GPT / baseline</t>
  </si>
  <si>
    <t>Gemini / baseline</t>
  </si>
  <si>
    <t>v4_combined prompt</t>
  </si>
  <si>
    <t>Claude / v4_combined</t>
  </si>
  <si>
    <t>GPT / v4_combined</t>
  </si>
  <si>
    <t>Gemini / v4_combined</t>
  </si>
  <si>
    <t>Best verse F1 (config)</t>
  </si>
  <si>
    <t>Worst verse F1 (config)</t>
  </si>
  <si>
    <t>Top-3 chosen (where applicable)</t>
  </si>
  <si>
    <t>E1v2 Core</t>
  </si>
  <si>
    <t>0.577 (ENSEMBLE(2of3)/D)</t>
  </si>
  <si>
    <t>0.377 (Claude/Z)</t>
  </si>
  <si>
    <t>GPT-Z (R=0.732), Claude-FS (R=0.685), GPT-FS (R=0.644)</t>
  </si>
  <si>
    <t>Eras FewShot</t>
  </si>
  <si>
    <t>0.588 (Claude/Q2)</t>
  </si>
  <si>
    <t>GPT-Z (R=0.732), Claude-FS (R=0.618), GPT-FS (R=0.591)</t>
  </si>
  <si>
    <t>Multipoet F5F10</t>
  </si>
  <si>
    <t>0.517 (Top 3 models ENSEMBLE (1-of-3))</t>
  </si>
  <si>
    <t>0.382 (GPT/F10)</t>
  </si>
  <si>
    <t>Claude-F10 (R=0.831), Claude-F5 (R=0.688), Gemini-F10 (R=0.637)</t>
  </si>
  <si>
    <t>Opus5.5 SetA</t>
  </si>
  <si>
    <t>0.585 (Opus/A)</t>
  </si>
  <si>
    <t>Claude-A (R=0.819), GPT-Z (R=0.732), GPT-A (R=0.677)</t>
  </si>
  <si>
    <t>P7 استعارة قديمة</t>
  </si>
  <si>
    <t>0.211 (Gemini/zero)</t>
  </si>
  <si>
    <t>0.065 (GPT/zero)</t>
  </si>
  <si>
    <t>Gemini-FS (R=0.800), Claude-FS (R=0.600), Gemini-Z (R=0.533)</t>
  </si>
  <si>
    <t>P7 كناية عن صفة</t>
  </si>
  <si>
    <t>0.356 (GPT-Z AND Claude-FS)</t>
  </si>
  <si>
    <t>0.247 (GPT/few)</t>
  </si>
  <si>
    <t>GPT-Z (R=0.857), Gemini-FS (R=0.551), Claude-FS (R=0.490)</t>
  </si>
  <si>
    <t>P7 تشبيه قصير</t>
  </si>
  <si>
    <t>0.298 (ENSEMBLE(2of3)/zero)</t>
  </si>
  <si>
    <t>0.154 (GPT-Z OR Claude-FS)</t>
  </si>
  <si>
    <t>GPT-Z (R=0.692), GPT-FS (R=0.692), Claude-Z (R=0.615)</t>
  </si>
  <si>
    <t>P7 تشبيه مطول</t>
  </si>
  <si>
    <t>0.406 (ENSEMBLE(2of3)/zero)</t>
  </si>
  <si>
    <t>0.281 (GPT-Z OR Claude-FS)</t>
  </si>
  <si>
    <t>GPT-FS (R=0.800), GPT-Z (R=0.600), Claude-Z (R=0.520)</t>
  </si>
  <si>
    <t>Phase1 Frozen</t>
  </si>
  <si>
    <t>0.386 (Gemini/v4_combined)</t>
  </si>
  <si>
    <t>0.065 (GPT/baseline)</t>
  </si>
  <si>
    <t>Scope</t>
  </si>
  <si>
    <t>This workbook consolidates every result shown in docs/phase4/E1_V2_REPORT.html, EXCLUDING Phase 5-6 (local fine-tuning), per the user's explicit request.</t>
  </si>
  <si>
    <t>Verse-level metrics ONLY throughout (per the user's explicit decision for this workbook). CLAUDE.md's standing rule 4 (always score span-level too, strict + token-overlap) is deliberately NOT followed in this workbook -- verse-level alone can reward exists=True regardless of whether the predicted span is actually correct, which is why E1_V2_REPORT.html / DESIGN_CHOICE_GPTZ_CLAUDEFS.md / E1_V2_ENSEMBLE.md all report strict/token alongside verse. Use the HTML report or the underlying analysis_report*.json files directly if a strict/token comparison is needed.</t>
  </si>
  <si>
    <t>Definitions used throughout this workbook</t>
  </si>
  <si>
    <t>ENSEMBLE (2-of-3): for each verse-unit, predicted positive iff &gt;=2 of the 3 named models/configurations returned exists=True for that cell. A missing/unparseable cell is a non-vote (treated as False) -- same convention as experiments/phase4_e1_v2/ensemble_v2.py and experiments/phase7_subtypes/score_phase7.py's own ensemble rule.</t>
  </si>
  <si>
    <t>Top 3 models ENSEMBLE (2-of-3) / (1-of-3): among the 6 base configurations for that sheet (3 models x zero-shot/few-shot, few-shot = that model's MEAN recall over its own few-shot sets where more than one exists), the 3 with the HIGHEST verse-level RECALL are chosen -- NEVER by F1 or precision. 2-of-3 then requires 2 of those 3 chosen configurations to agree; 1-of-3 (OR) requires only one. CAVEAT: ranking by recall systematically favors liberal (high-recall, lower-precision) configurations, so the 1-of-3 OR ensemble built from a recall-selected trio will typically show high recall and comparatively low precision -- this is expected given the selection rule, not a surprising result. The same MODEL can legitimately occupy 2 of the 3 chosen slots (e.g. both its zero-shot AND few-shot configuration rank in the top 3) -- the rule ranks the 6 CONFIGURATIONS, not 1-per-model; this happened on several sheets in this workbook (e.g. 'E1v2 Core' chose GPT-Z and GPT-FS together) and is shown explicitly in each sheet's 'Top 3 by recall (chosen: ...)' section header.</t>
  </si>
  <si>
    <t>GPT-Z OR Claude-FS / AND: the 2-voter combination of GPT-5.4-mini's zero-shot call with Claude Sonnet 4.6's few-shot call for the stated set. OR = positive if either says yes; AND = positive only if both agree. This is the project's own 'production candidate' combination, first analyzed in docs/phase4/DESIGN_CHOICE_GPTZ_CLAUDEFS.md.</t>
  </si>
  <si>
    <t>MEAN (over sets) rows: the MEAN of each set's own already-computed Precision/Recall/F1 (not derived from averaged TP/FP/FN, which would be a different, nonlinear quantity for F1). TP/FP/FN shown on a MEAN row are plain means of the per-set counts, shown for reference only (hence non-integer) -- they are NOT used to (re)derive that row's P/R/F1. The 'never pick the best set' rule means every individual set's row is always shown alongside the MEAN, with the full min-max range stated in that row's Notes cell.</t>
  </si>
  <si>
    <t>TN (true negatives) = (total verse-units in that sheet's pool) - TP - FP - FN, as an Excel formula referencing the literal pool size stated in that sheet's own info block.</t>
  </si>
  <si>
    <t>P/R/F1 are always live Excel formulas computed from each row's own TP/FP/FN cells (=IFERROR(TP/(TP+FP),0) etc.) -- never hand-typed, per the task's instruction.</t>
  </si>
  <si>
    <t>Comparability warnings</t>
  </si>
  <si>
    <t>The 'Phase1 Frozen' sheet is NOT comparable to any other sheet: different prompt (whole-poem baseline/v4_combined vs every other sheet's per-verse subtype prompt), different element scope (the full umbrella 'Trope'/مجاز category vs one narrow subtype), different pool (3 frozen TEST poems vs the 25/50-poem E1v2 pools), and a different metric (span-level strict, 2-run majority, vs this workbook's verse-level, 1-run convention everywhere else).</t>
  </si>
  <si>
    <t>'E1v2 Core' / 'Eras FewShot' / 'Opus5.5 SetA' share the SAME 25-poem/327-verse pool and the same zero-shot (Z) data -- numbers for 'Claude/Z', 'GPT/Z', 'Gemini/Z' and the 3-model ENSEMBLE/zero row are IDENTICAL across those three sheets by construction (same cache, same cells), not independently re-estimated.</t>
  </si>
  <si>
    <t>'Multipoet F5F10' uses a DIFFERENT 50-poem pool with only partial overlap (9/25 poems) against the other E1v2 sheets' 25-poem pool (per docs/phase4/DESIGN_CHOICE_GPTZ_CLAUDEFS.md) -- its F1 values must not be compared directly against Z/A/B/C/D/D2/M*/E*/H*/Q* rows.</t>
  </si>
  <si>
    <t>Phase 7 subtypes 'استعارة قديمة', 'تشبيه قصير', 'تشبيه مطول' are flagged INDICATIVE ONLY (pool positives n=15/13/25, all under this project's own n=30 floor) -- their numbers describe this one 25-poem sample, not a generalizable estimate. Only 'كناية عن صفة' (n=49) is above the floor.</t>
  </si>
  <si>
    <t>No bootstrap confidence intervals are shown anywhere in this workbook (the task asked for raw TP/FP/FN/P/R/F1 only) -- several of the differences visible here (e.g. between sets, or between single models and ensembles) do NOT clear a 95% CI in the source documents (docs/phase4/E1_V2_ENSEMBLE.md, DESIGN_CHOICE_GPTZ_CLAUDEFS.md, docs/phase7/SUBTYPES_RESULTS.md) -- consult those documents before treating any single-row difference here as a confirmed effect.</t>
  </si>
  <si>
    <t>One run, no noise baseline (everywhere in this workbook except Phase1 Frozen)</t>
  </si>
  <si>
    <t>Every E1 v2 / Phase 7 number in this workbook is from EXACTLY 1 run per (set/condition, poem, verse, model) cell -- CLAUDE.md's standing rule 2 (&gt;=2 runs, 2-run majority as the primary metric) was NOT followed for any of Phases 4 and 7. The project's own prior finding (PROJECT_STATE.md section 6.1: an apparent 8x Kenning/Periphrasis gain on one run halved on a second) is the explicit reason that rule exists -- treat every single-run number in this workbook, including every ensemble/Top-3/OR/AND combination built on top of those single runs, as provisional pending a second run, exactly as docs/phase4/DESIGN_CHOICE_GPTZ_CLAUDEFS.md Part 4 already states. Phase 1 Frozen (sheet 9) is the one exception: it IS 2-run majority.</t>
  </si>
  <si>
    <t>Licensing</t>
  </si>
  <si>
    <t xml:space="preserve">UNRESOLVED: </t>
  </si>
  <si>
    <t>Source files read to build this workbook</t>
  </si>
  <si>
    <t>results/phase4_e1_v2/run_manifest.json, analysis_report_ensemble.json, analysis_report_opus_a.json, design_choice/analysis_report_design_choice.json, and raw/*.txt (via ensemble_v2.build_parsed_cache)</t>
  </si>
  <si>
    <t>results/phase7_subtypes/run_manifest.json, run_manifest_tashbih2.json, analysis_report_phase7.json, and raw/*.txt + raw_tashbih2/*.txt (via score_phase7.load_manifests/build_cell_index)</t>
  </si>
  <si>
    <t>experiments/phase4_e1_v2/config/eval_pool_25.json, eval_pool_50_multipoet.json</t>
  </si>
  <si>
    <t>experiments/phase4_e1_v2/{ensemble_v2,e1v2_config,gt_v2}.py, experiments/phase7_subtypes/score_phase7.py (all read-only, never modified), experiments/pilot_3models/{analyze,config}.py</t>
  </si>
  <si>
    <t>PROJECT_STATE.md section 3a (Phase 1 frozen numbers), GLOSSARY.md (terminology), writing/paper_plan/TOP_5_BLOCKERS.md (licensing caveat)</t>
  </si>
  <si>
    <t>docs/phase4/{E1_V2_ENSEMBLE,DESIGN_CHOICE_GPTZ_CLAUDEFS}.md, docs/phase7/SUBTYPES_RESULTS.md (cross-checked, not recomputed from, in verify_* below)</t>
  </si>
  <si>
    <t>Provenance</t>
  </si>
  <si>
    <t>Built by scripts/build_results_excel.py, git commit 251826c870569c05c9b2a2d8c075af176e180b4e, generated 2026-10-30 07:48 UTC. No API calls were made to produce this workbook or any of its inputs.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</si>
</sst>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b/>
      <i/>
      <sz val="11"/>
      <name val="Arial"/>
    </font>
    <font>
      <b/>
      <sz val="13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2" fillId="3" borderId="1" xfId="0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0" fontId="2" fillId="5" borderId="1" xfId="0" applyFont="1" applyFill="1" applyBorder="1"/>
    <xf numFmtId="164" fontId="2" fillId="5" borderId="1" xfId="0" applyNumberFormat="1" applyFont="1" applyFill="1" applyBorder="1"/>
    <xf numFmtId="0" fontId="4" fillId="4" borderId="1" xfId="0" applyFont="1" applyFill="1" applyBorder="1"/>
    <xf numFmtId="165" fontId="4" fillId="4" borderId="1" xfId="0" applyNumberFormat="1" applyFont="1" applyFill="1" applyBorder="1"/>
    <xf numFmtId="164" fontId="4" fillId="4" borderId="1" xfId="0" applyNumberFormat="1" applyFont="1" applyFill="1" applyBorder="1"/>
    <xf numFmtId="0" fontId="1" fillId="0" borderId="1" xfId="0" applyFont="1" applyBorder="1"/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2" fillId="0" borderId="0" xfId="0" applyFont="1" applyAlignment="1">
      <alignment horizontal="right" vertical="top"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workbookViewId="0"/>
  </sheetViews>
  <sheetFormatPr defaultRowHeight="14.35"/>
  <cols>
    <col min="1" max="1" width="34" customWidth="1"/>
    <col min="2" max="5" width="7" customWidth="1"/>
    <col min="6" max="8" width="8" customWidth="1"/>
    <col min="9" max="9" width="70" customWidth="1"/>
  </cols>
  <sheetData>
    <row r="1" spans="1:9" ht="15" customHeight="1">
      <c r="A1" s="1" t="s">
        <v>0</v>
      </c>
      <c r="B1" s="17" t="s">
        <v>1</v>
      </c>
      <c r="C1" s="18"/>
      <c r="D1" s="18"/>
      <c r="E1" s="18"/>
      <c r="F1" s="18"/>
      <c r="G1" s="18"/>
      <c r="H1" s="18"/>
      <c r="I1" s="18"/>
    </row>
    <row r="2" spans="1:9" ht="15" customHeight="1">
      <c r="A2" s="1" t="s">
        <v>2</v>
      </c>
      <c r="B2" s="19" t="s">
        <v>3</v>
      </c>
      <c r="C2" s="18"/>
      <c r="D2" s="18"/>
      <c r="E2" s="18"/>
      <c r="F2" s="18"/>
      <c r="G2" s="18"/>
      <c r="H2" s="18"/>
      <c r="I2" s="18"/>
    </row>
    <row r="3" spans="1:9" ht="15" customHeight="1">
      <c r="A3" s="1" t="s">
        <v>4</v>
      </c>
      <c r="B3" s="17" t="s">
        <v>5</v>
      </c>
      <c r="C3" s="18"/>
      <c r="D3" s="18"/>
      <c r="E3" s="18"/>
      <c r="F3" s="18"/>
      <c r="G3" s="18"/>
      <c r="H3" s="18"/>
      <c r="I3" s="18"/>
    </row>
    <row r="4" spans="1:9" ht="15" customHeight="1">
      <c r="A4" s="1" t="s">
        <v>6</v>
      </c>
      <c r="B4" s="17" t="s">
        <v>7</v>
      </c>
      <c r="C4" s="18"/>
      <c r="D4" s="18"/>
      <c r="E4" s="18"/>
      <c r="F4" s="18"/>
      <c r="G4" s="18"/>
      <c r="H4" s="18"/>
      <c r="I4" s="18"/>
    </row>
    <row r="5" spans="1:9" ht="15" customHeight="1">
      <c r="A5" s="1" t="s">
        <v>8</v>
      </c>
      <c r="B5" s="17" t="s">
        <v>9</v>
      </c>
      <c r="C5" s="18"/>
      <c r="D5" s="18"/>
      <c r="E5" s="18"/>
      <c r="F5" s="18"/>
      <c r="G5" s="18"/>
      <c r="H5" s="18"/>
      <c r="I5" s="18"/>
    </row>
    <row r="6" spans="1:9" ht="15" customHeight="1">
      <c r="A6" s="1" t="s">
        <v>10</v>
      </c>
      <c r="B6" s="17">
        <v>25</v>
      </c>
      <c r="C6" s="18"/>
      <c r="D6" s="18"/>
      <c r="E6" s="18"/>
      <c r="F6" s="18"/>
      <c r="G6" s="18"/>
      <c r="H6" s="18"/>
      <c r="I6" s="18"/>
    </row>
    <row r="7" spans="1:9" ht="15" customHeight="1">
      <c r="A7" s="1" t="s">
        <v>11</v>
      </c>
      <c r="B7" s="17">
        <v>327</v>
      </c>
      <c r="C7" s="18"/>
      <c r="D7" s="18"/>
      <c r="E7" s="18"/>
      <c r="F7" s="18"/>
      <c r="G7" s="18"/>
      <c r="H7" s="18"/>
      <c r="I7" s="18"/>
    </row>
    <row r="8" spans="1:9" ht="15" customHeight="1">
      <c r="A8" s="1" t="s">
        <v>12</v>
      </c>
      <c r="B8" s="17">
        <v>127</v>
      </c>
      <c r="C8" s="18"/>
      <c r="D8" s="18"/>
      <c r="E8" s="18"/>
      <c r="F8" s="18"/>
      <c r="G8" s="18"/>
      <c r="H8" s="18"/>
      <c r="I8" s="18"/>
    </row>
    <row r="9" spans="1:9" ht="15" customHeight="1">
      <c r="A9" s="1" t="s">
        <v>13</v>
      </c>
      <c r="B9" s="17">
        <v>200</v>
      </c>
      <c r="C9" s="18"/>
      <c r="D9" s="18"/>
      <c r="E9" s="18"/>
      <c r="F9" s="18"/>
      <c r="G9" s="18"/>
      <c r="H9" s="18"/>
      <c r="I9" s="18"/>
    </row>
    <row r="10" spans="1:9" ht="15" customHeight="1">
      <c r="A10" s="1" t="s">
        <v>14</v>
      </c>
      <c r="B10" s="17">
        <v>0.38840000000000002</v>
      </c>
      <c r="C10" s="18"/>
      <c r="D10" s="18"/>
      <c r="E10" s="18"/>
      <c r="F10" s="18"/>
      <c r="G10" s="18"/>
      <c r="H10" s="18"/>
      <c r="I10" s="18"/>
    </row>
    <row r="11" spans="1:9" ht="15" customHeight="1">
      <c r="A11" s="1" t="s">
        <v>15</v>
      </c>
      <c r="B11" s="17">
        <v>327</v>
      </c>
      <c r="C11" s="18"/>
      <c r="D11" s="18"/>
      <c r="E11" s="18"/>
      <c r="F11" s="18"/>
      <c r="G11" s="18"/>
      <c r="H11" s="18"/>
      <c r="I11" s="18"/>
    </row>
    <row r="12" spans="1:9" ht="15" customHeight="1">
      <c r="A12" s="1" t="s">
        <v>16</v>
      </c>
      <c r="B12" s="17">
        <v>1</v>
      </c>
      <c r="C12" s="18"/>
      <c r="D12" s="18"/>
      <c r="E12" s="18"/>
      <c r="F12" s="18"/>
      <c r="G12" s="18"/>
      <c r="H12" s="18"/>
      <c r="I12" s="18"/>
    </row>
    <row r="13" spans="1:9" ht="30" customHeight="1">
      <c r="A13" s="1" t="s">
        <v>17</v>
      </c>
      <c r="B13" s="17" t="s">
        <v>18</v>
      </c>
      <c r="C13" s="18"/>
      <c r="D13" s="18"/>
      <c r="E13" s="18"/>
      <c r="F13" s="18"/>
      <c r="G13" s="18"/>
      <c r="H13" s="18"/>
      <c r="I13" s="18"/>
    </row>
    <row r="14" spans="1:9" ht="15" customHeight="1">
      <c r="A14" s="1" t="s">
        <v>19</v>
      </c>
      <c r="B14" s="17" t="s">
        <v>20</v>
      </c>
      <c r="C14" s="18"/>
      <c r="D14" s="18"/>
      <c r="E14" s="18"/>
      <c r="F14" s="18"/>
      <c r="G14" s="18"/>
      <c r="H14" s="18"/>
      <c r="I14" s="18"/>
    </row>
    <row r="15" spans="1:9" ht="15" customHeight="1">
      <c r="A15" s="1" t="s">
        <v>21</v>
      </c>
      <c r="B15" s="17" t="s">
        <v>22</v>
      </c>
      <c r="C15" s="18"/>
      <c r="D15" s="18"/>
      <c r="E15" s="18"/>
      <c r="F15" s="18"/>
      <c r="G15" s="18"/>
      <c r="H15" s="18"/>
      <c r="I15" s="18"/>
    </row>
    <row r="16" spans="1:9" ht="30" customHeight="1">
      <c r="A16" s="1" t="s">
        <v>23</v>
      </c>
      <c r="B16" s="17" t="s">
        <v>24</v>
      </c>
      <c r="C16" s="18"/>
      <c r="D16" s="18"/>
      <c r="E16" s="18"/>
      <c r="F16" s="18"/>
      <c r="G16" s="18"/>
      <c r="H16" s="18"/>
      <c r="I16" s="18"/>
    </row>
    <row r="18" spans="1:9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31</v>
      </c>
      <c r="H18" s="2" t="s">
        <v>32</v>
      </c>
      <c r="I18" s="2" t="s">
        <v>33</v>
      </c>
    </row>
    <row r="19" spans="1:9">
      <c r="A19" s="3" t="s">
        <v>34</v>
      </c>
      <c r="B19" s="4"/>
      <c r="C19" s="4"/>
      <c r="D19" s="4"/>
      <c r="E19" s="4"/>
      <c r="F19" s="4"/>
      <c r="G19" s="4"/>
      <c r="H19" s="4"/>
      <c r="I19" s="4"/>
    </row>
    <row r="20" spans="1:9">
      <c r="A20" s="5" t="s">
        <v>35</v>
      </c>
      <c r="B20" s="5">
        <v>39</v>
      </c>
      <c r="C20" s="5">
        <v>41</v>
      </c>
      <c r="D20" s="5">
        <v>88</v>
      </c>
      <c r="E20" s="5">
        <f>327-B20-C20-D20</f>
        <v>159</v>
      </c>
      <c r="F20" s="6">
        <f>IFERROR(B20/(B20+C20),0)</f>
        <v>0.48749999999999999</v>
      </c>
      <c r="G20" s="6">
        <f>IFERROR(B20/(B20+D20),0)</f>
        <v>0.30708661417322836</v>
      </c>
      <c r="H20" s="6">
        <f>IFERROR(2*F20*G20/(F20+G20),0)</f>
        <v>0.37681159420289856</v>
      </c>
      <c r="I20" s="5"/>
    </row>
    <row r="21" spans="1:9">
      <c r="A21" s="7" t="s">
        <v>36</v>
      </c>
      <c r="B21" s="7">
        <v>93</v>
      </c>
      <c r="C21" s="7">
        <v>119</v>
      </c>
      <c r="D21" s="7">
        <v>34</v>
      </c>
      <c r="E21" s="7">
        <f>327-B21-C21-D21</f>
        <v>81</v>
      </c>
      <c r="F21" s="8">
        <f>IFERROR(B21/(B21+C21),0)</f>
        <v>0.43867924528301888</v>
      </c>
      <c r="G21" s="8">
        <f>IFERROR(B21/(B21+D21),0)</f>
        <v>0.73228346456692917</v>
      </c>
      <c r="H21" s="8">
        <f>IFERROR(2*F21*G21/(F21+G21),0)</f>
        <v>0.54867256637168138</v>
      </c>
      <c r="I21" s="5"/>
    </row>
    <row r="22" spans="1:9">
      <c r="A22" s="5" t="s">
        <v>37</v>
      </c>
      <c r="B22" s="5">
        <v>47</v>
      </c>
      <c r="C22" s="5">
        <v>65</v>
      </c>
      <c r="D22" s="5">
        <v>80</v>
      </c>
      <c r="E22" s="5">
        <f>327-B22-C22-D22</f>
        <v>135</v>
      </c>
      <c r="F22" s="6">
        <f>IFERROR(B22/(B22+C22),0)</f>
        <v>0.41964285714285715</v>
      </c>
      <c r="G22" s="6">
        <f>IFERROR(B22/(B22+D22),0)</f>
        <v>0.37007874015748032</v>
      </c>
      <c r="H22" s="6">
        <f>IFERROR(2*F22*G22/(F22+G22),0)</f>
        <v>0.3933054393305439</v>
      </c>
      <c r="I22" s="5"/>
    </row>
    <row r="23" spans="1:9">
      <c r="A23" s="3" t="s">
        <v>38</v>
      </c>
      <c r="B23" s="4"/>
      <c r="C23" s="4"/>
      <c r="D23" s="4"/>
      <c r="E23" s="4"/>
      <c r="F23" s="4"/>
      <c r="G23" s="4"/>
      <c r="H23" s="4"/>
      <c r="I23" s="4"/>
    </row>
    <row r="24" spans="1:9">
      <c r="A24" s="7" t="s">
        <v>39</v>
      </c>
      <c r="B24" s="7">
        <v>104</v>
      </c>
      <c r="C24" s="7">
        <v>130</v>
      </c>
      <c r="D24" s="7">
        <v>23</v>
      </c>
      <c r="E24" s="7">
        <f t="shared" ref="E24:E29" si="0">327-B24-C24-D24</f>
        <v>70</v>
      </c>
      <c r="F24" s="8">
        <f>IFERROR(B24/(B24+C24),0)</f>
        <v>0.44444444444444442</v>
      </c>
      <c r="G24" s="8">
        <f>IFERROR(B24/(B24+D24),0)</f>
        <v>0.81889763779527558</v>
      </c>
      <c r="H24" s="8">
        <f>IFERROR(2*F24*G24/(F24+G24),0)</f>
        <v>0.5761772853185595</v>
      </c>
      <c r="I24" s="5"/>
    </row>
    <row r="25" spans="1:9">
      <c r="A25" s="5" t="s">
        <v>40</v>
      </c>
      <c r="B25" s="5">
        <v>94</v>
      </c>
      <c r="C25" s="5">
        <v>123</v>
      </c>
      <c r="D25" s="5">
        <v>33</v>
      </c>
      <c r="E25" s="5">
        <f t="shared" si="0"/>
        <v>77</v>
      </c>
      <c r="F25" s="6">
        <f>IFERROR(B25/(B25+C25),0)</f>
        <v>0.43317972350230416</v>
      </c>
      <c r="G25" s="6">
        <f>IFERROR(B25/(B25+D25),0)</f>
        <v>0.74015748031496065</v>
      </c>
      <c r="H25" s="6">
        <f>IFERROR(2*F25*G25/(F25+G25),0)</f>
        <v>0.54651162790697672</v>
      </c>
      <c r="I25" s="5"/>
    </row>
    <row r="26" spans="1:9">
      <c r="A26" s="5" t="s">
        <v>41</v>
      </c>
      <c r="B26" s="5">
        <v>48</v>
      </c>
      <c r="C26" s="5">
        <v>56</v>
      </c>
      <c r="D26" s="5">
        <v>79</v>
      </c>
      <c r="E26" s="5">
        <f t="shared" si="0"/>
        <v>144</v>
      </c>
      <c r="F26" s="6">
        <f>IFERROR(B26/(B26+C26),0)</f>
        <v>0.46153846153846156</v>
      </c>
      <c r="G26" s="6">
        <f>IFERROR(B26/(B26+D26),0)</f>
        <v>0.37795275590551181</v>
      </c>
      <c r="H26" s="6">
        <f>IFERROR(2*F26*G26/(F26+G26),0)</f>
        <v>0.41558441558441561</v>
      </c>
      <c r="I26" s="5" t="s">
        <v>42</v>
      </c>
    </row>
    <row r="27" spans="1:9">
      <c r="A27" s="5" t="s">
        <v>43</v>
      </c>
      <c r="B27" s="5">
        <v>93</v>
      </c>
      <c r="C27" s="5">
        <v>111</v>
      </c>
      <c r="D27" s="5">
        <v>34</v>
      </c>
      <c r="E27" s="5">
        <f t="shared" si="0"/>
        <v>89</v>
      </c>
      <c r="F27" s="6">
        <f>IFERROR(B27/(B27+C27),0)</f>
        <v>0.45588235294117646</v>
      </c>
      <c r="G27" s="6">
        <f>IFERROR(B27/(B27+D27),0)</f>
        <v>0.73228346456692917</v>
      </c>
      <c r="H27" s="6">
        <f>IFERROR(2*F27*G27/(F27+G27),0)</f>
        <v>0.5619335347432024</v>
      </c>
      <c r="I27" s="5"/>
    </row>
    <row r="28" spans="1:9">
      <c r="A28" s="5" t="s">
        <v>44</v>
      </c>
      <c r="B28" s="5">
        <v>96</v>
      </c>
      <c r="C28" s="5">
        <v>115</v>
      </c>
      <c r="D28" s="5">
        <v>31</v>
      </c>
      <c r="E28" s="5">
        <f t="shared" si="0"/>
        <v>85</v>
      </c>
      <c r="F28" s="6">
        <f>IFERROR(B28/(B28+C28),0)</f>
        <v>0.45497630331753552</v>
      </c>
      <c r="G28" s="6">
        <f>IFERROR(B28/(B28+D28),0)</f>
        <v>0.75590551181102361</v>
      </c>
      <c r="H28" s="6">
        <f>IFERROR(2*F28*G28/(F28+G28),0)</f>
        <v>0.56804733727810641</v>
      </c>
      <c r="I28" s="5"/>
    </row>
    <row r="29" spans="1:9">
      <c r="A29" s="9" t="s">
        <v>45</v>
      </c>
      <c r="B29" s="10">
        <f>AVERAGE(B24,B25,B26,B27,B28)</f>
        <v>87</v>
      </c>
      <c r="C29" s="10">
        <f>AVERAGE(C24,C25,C26,C27,C28)</f>
        <v>107</v>
      </c>
      <c r="D29" s="10">
        <f>AVERAGE(D24,D25,D26,D27,D28)</f>
        <v>40</v>
      </c>
      <c r="E29" s="10">
        <f t="shared" si="0"/>
        <v>93</v>
      </c>
      <c r="F29" s="11">
        <f>AVERAGE(F24,F25,F26,F27,F28)</f>
        <v>0.45000425714878445</v>
      </c>
      <c r="G29" s="11">
        <f>AVERAGE(G24,G25,G26,G27,G28)</f>
        <v>0.68503937007874005</v>
      </c>
      <c r="H29" s="11">
        <f>AVERAGE(H24,H25,H26,H27,H28)</f>
        <v>0.53365084016625208</v>
      </c>
      <c r="I29" s="9" t="s">
        <v>46</v>
      </c>
    </row>
    <row r="30" spans="1:9">
      <c r="A30" s="3" t="s">
        <v>47</v>
      </c>
      <c r="B30" s="4"/>
      <c r="C30" s="4"/>
      <c r="D30" s="4"/>
      <c r="E30" s="4"/>
      <c r="F30" s="4"/>
      <c r="G30" s="4"/>
      <c r="H30" s="4"/>
      <c r="I30" s="4"/>
    </row>
    <row r="31" spans="1:9">
      <c r="A31" s="7" t="s">
        <v>48</v>
      </c>
      <c r="B31" s="7">
        <v>86</v>
      </c>
      <c r="C31" s="7">
        <v>105</v>
      </c>
      <c r="D31" s="7">
        <v>41</v>
      </c>
      <c r="E31" s="7">
        <f t="shared" ref="E31:E36" si="1">327-B31-C31-D31</f>
        <v>95</v>
      </c>
      <c r="F31" s="8">
        <f>IFERROR(B31/(B31+C31),0)</f>
        <v>0.45026178010471202</v>
      </c>
      <c r="G31" s="8">
        <f>IFERROR(B31/(B31+D31),0)</f>
        <v>0.67716535433070868</v>
      </c>
      <c r="H31" s="8">
        <f>IFERROR(2*F31*G31/(F31+G31),0)</f>
        <v>0.54088050314465408</v>
      </c>
      <c r="I31" s="5"/>
    </row>
    <row r="32" spans="1:9">
      <c r="A32" s="5" t="s">
        <v>49</v>
      </c>
      <c r="B32" s="5">
        <v>90</v>
      </c>
      <c r="C32" s="5">
        <v>134</v>
      </c>
      <c r="D32" s="5">
        <v>37</v>
      </c>
      <c r="E32" s="5">
        <f t="shared" si="1"/>
        <v>66</v>
      </c>
      <c r="F32" s="6">
        <f>IFERROR(B32/(B32+C32),0)</f>
        <v>0.4017857142857143</v>
      </c>
      <c r="G32" s="6">
        <f>IFERROR(B32/(B32+D32),0)</f>
        <v>0.70866141732283461</v>
      </c>
      <c r="H32" s="6">
        <f>IFERROR(2*F32*G32/(F32+G32),0)</f>
        <v>0.51282051282051277</v>
      </c>
      <c r="I32" s="5"/>
    </row>
    <row r="33" spans="1:9">
      <c r="A33" s="5" t="s">
        <v>50</v>
      </c>
      <c r="B33" s="5">
        <v>52</v>
      </c>
      <c r="C33" s="5">
        <v>59</v>
      </c>
      <c r="D33" s="5">
        <v>75</v>
      </c>
      <c r="E33" s="5">
        <f t="shared" si="1"/>
        <v>141</v>
      </c>
      <c r="F33" s="6">
        <f>IFERROR(B33/(B33+C33),0)</f>
        <v>0.46846846846846846</v>
      </c>
      <c r="G33" s="6">
        <f>IFERROR(B33/(B33+D33),0)</f>
        <v>0.40944881889763779</v>
      </c>
      <c r="H33" s="6">
        <f>IFERROR(2*F33*G33/(F33+G33),0)</f>
        <v>0.43697478991596633</v>
      </c>
      <c r="I33" s="5" t="s">
        <v>42</v>
      </c>
    </row>
    <row r="34" spans="1:9">
      <c r="A34" s="5" t="s">
        <v>51</v>
      </c>
      <c r="B34" s="5">
        <v>98</v>
      </c>
      <c r="C34" s="5">
        <v>143</v>
      </c>
      <c r="D34" s="5">
        <v>29</v>
      </c>
      <c r="E34" s="5">
        <f t="shared" si="1"/>
        <v>57</v>
      </c>
      <c r="F34" s="6">
        <f>IFERROR(B34/(B34+C34),0)</f>
        <v>0.40663900414937759</v>
      </c>
      <c r="G34" s="6">
        <f>IFERROR(B34/(B34+D34),0)</f>
        <v>0.77165354330708658</v>
      </c>
      <c r="H34" s="6">
        <f>IFERROR(2*F34*G34/(F34+G34),0)</f>
        <v>0.53260869565217395</v>
      </c>
      <c r="I34" s="5"/>
    </row>
    <row r="35" spans="1:9">
      <c r="A35" s="5" t="s">
        <v>52</v>
      </c>
      <c r="B35" s="5">
        <v>83</v>
      </c>
      <c r="C35" s="5">
        <v>120</v>
      </c>
      <c r="D35" s="5">
        <v>44</v>
      </c>
      <c r="E35" s="5">
        <f t="shared" si="1"/>
        <v>80</v>
      </c>
      <c r="F35" s="6">
        <f>IFERROR(B35/(B35+C35),0)</f>
        <v>0.40886699507389163</v>
      </c>
      <c r="G35" s="6">
        <f>IFERROR(B35/(B35+D35),0)</f>
        <v>0.65354330708661412</v>
      </c>
      <c r="H35" s="6">
        <f>IFERROR(2*F35*G35/(F35+G35),0)</f>
        <v>0.50303030303030294</v>
      </c>
      <c r="I35" s="5"/>
    </row>
    <row r="36" spans="1:9">
      <c r="A36" s="9" t="s">
        <v>53</v>
      </c>
      <c r="B36" s="10">
        <f>AVERAGE(B31,B32,B33,B34,B35)</f>
        <v>81.8</v>
      </c>
      <c r="C36" s="10">
        <f>AVERAGE(C31,C32,C33,C34,C35)</f>
        <v>112.2</v>
      </c>
      <c r="D36" s="10">
        <f>AVERAGE(D31,D32,D33,D34,D35)</f>
        <v>45.2</v>
      </c>
      <c r="E36" s="10">
        <f t="shared" si="1"/>
        <v>87.8</v>
      </c>
      <c r="F36" s="11">
        <f>AVERAGE(F31,F32,F33,F34,F35)</f>
        <v>0.42720439241643271</v>
      </c>
      <c r="G36" s="11">
        <f>AVERAGE(G31,G32,G33,G34,G35)</f>
        <v>0.6440944881889763</v>
      </c>
      <c r="H36" s="11">
        <f>AVERAGE(H31,H32,H33,H34,H35)</f>
        <v>0.50526296091272205</v>
      </c>
      <c r="I36" s="9" t="s">
        <v>54</v>
      </c>
    </row>
    <row r="37" spans="1:9">
      <c r="A37" s="3" t="s">
        <v>55</v>
      </c>
      <c r="B37" s="4"/>
      <c r="C37" s="4"/>
      <c r="D37" s="4"/>
      <c r="E37" s="4"/>
      <c r="F37" s="4"/>
      <c r="G37" s="4"/>
      <c r="H37" s="4"/>
      <c r="I37" s="4"/>
    </row>
    <row r="38" spans="1:9">
      <c r="A38" s="7" t="s">
        <v>56</v>
      </c>
      <c r="B38" s="7">
        <v>79</v>
      </c>
      <c r="C38" s="7">
        <v>103</v>
      </c>
      <c r="D38" s="7">
        <v>48</v>
      </c>
      <c r="E38" s="7">
        <f t="shared" ref="E38:E43" si="2">327-B38-C38-D38</f>
        <v>97</v>
      </c>
      <c r="F38" s="8">
        <f>IFERROR(B38/(B38+C38),0)</f>
        <v>0.43406593406593408</v>
      </c>
      <c r="G38" s="8">
        <f>IFERROR(B38/(B38+D38),0)</f>
        <v>0.62204724409448819</v>
      </c>
      <c r="H38" s="8">
        <f>IFERROR(2*F38*G38/(F38+G38),0)</f>
        <v>0.51132686084142398</v>
      </c>
      <c r="I38" s="5"/>
    </row>
    <row r="39" spans="1:9">
      <c r="A39" s="5" t="s">
        <v>57</v>
      </c>
      <c r="B39" s="5">
        <v>78</v>
      </c>
      <c r="C39" s="5">
        <v>101</v>
      </c>
      <c r="D39" s="5">
        <v>49</v>
      </c>
      <c r="E39" s="5">
        <f t="shared" si="2"/>
        <v>99</v>
      </c>
      <c r="F39" s="6">
        <f>IFERROR(B39/(B39+C39),0)</f>
        <v>0.43575418994413406</v>
      </c>
      <c r="G39" s="6">
        <f>IFERROR(B39/(B39+D39),0)</f>
        <v>0.61417322834645671</v>
      </c>
      <c r="H39" s="6">
        <f>IFERROR(2*F39*G39/(F39+G39),0)</f>
        <v>0.50980392156862742</v>
      </c>
      <c r="I39" s="5"/>
    </row>
    <row r="40" spans="1:9">
      <c r="A40" s="5" t="s">
        <v>58</v>
      </c>
      <c r="B40" s="5">
        <v>63</v>
      </c>
      <c r="C40" s="5">
        <v>72</v>
      </c>
      <c r="D40" s="5">
        <v>64</v>
      </c>
      <c r="E40" s="5">
        <f t="shared" si="2"/>
        <v>128</v>
      </c>
      <c r="F40" s="6">
        <f>IFERROR(B40/(B40+C40),0)</f>
        <v>0.46666666666666667</v>
      </c>
      <c r="G40" s="6">
        <f>IFERROR(B40/(B40+D40),0)</f>
        <v>0.49606299212598426</v>
      </c>
      <c r="H40" s="6">
        <f>IFERROR(2*F40*G40/(F40+G40),0)</f>
        <v>0.48091603053435117</v>
      </c>
      <c r="I40" s="5" t="s">
        <v>42</v>
      </c>
    </row>
    <row r="41" spans="1:9">
      <c r="A41" s="5" t="s">
        <v>59</v>
      </c>
      <c r="B41" s="5">
        <v>72</v>
      </c>
      <c r="C41" s="5">
        <v>84</v>
      </c>
      <c r="D41" s="5">
        <v>55</v>
      </c>
      <c r="E41" s="5">
        <f t="shared" si="2"/>
        <v>116</v>
      </c>
      <c r="F41" s="6">
        <f>IFERROR(B41/(B41+C41),0)</f>
        <v>0.46153846153846156</v>
      </c>
      <c r="G41" s="6">
        <f>IFERROR(B41/(B41+D41),0)</f>
        <v>0.56692913385826771</v>
      </c>
      <c r="H41" s="6">
        <f>IFERROR(2*F41*G41/(F41+G41),0)</f>
        <v>0.50883392226148405</v>
      </c>
      <c r="I41" s="5"/>
    </row>
    <row r="42" spans="1:9">
      <c r="A42" s="5" t="s">
        <v>60</v>
      </c>
      <c r="B42" s="5">
        <v>75</v>
      </c>
      <c r="C42" s="5">
        <v>98</v>
      </c>
      <c r="D42" s="5">
        <v>52</v>
      </c>
      <c r="E42" s="5">
        <f t="shared" si="2"/>
        <v>102</v>
      </c>
      <c r="F42" s="6">
        <f>IFERROR(B42/(B42+C42),0)</f>
        <v>0.43352601156069365</v>
      </c>
      <c r="G42" s="6">
        <f>IFERROR(B42/(B42+D42),0)</f>
        <v>0.59055118110236215</v>
      </c>
      <c r="H42" s="6">
        <f>IFERROR(2*F42*G42/(F42+G42),0)</f>
        <v>0.5</v>
      </c>
      <c r="I42" s="5"/>
    </row>
    <row r="43" spans="1:9">
      <c r="A43" s="9" t="s">
        <v>61</v>
      </c>
      <c r="B43" s="10">
        <f>AVERAGE(B38,B39,B40,B41,B42)</f>
        <v>73.400000000000006</v>
      </c>
      <c r="C43" s="10">
        <f>AVERAGE(C38,C39,C40,C41,C42)</f>
        <v>91.6</v>
      </c>
      <c r="D43" s="10">
        <f>AVERAGE(D38,D39,D40,D41,D42)</f>
        <v>53.6</v>
      </c>
      <c r="E43" s="10">
        <f t="shared" si="2"/>
        <v>108.4</v>
      </c>
      <c r="F43" s="11">
        <f>AVERAGE(F38,F39,F40,F41,F42)</f>
        <v>0.44631025275517799</v>
      </c>
      <c r="G43" s="11">
        <f>AVERAGE(G38,G39,G40,G41,G42)</f>
        <v>0.57795275590551176</v>
      </c>
      <c r="H43" s="11">
        <f>AVERAGE(H38,H39,H40,H41,H42)</f>
        <v>0.5021761470411773</v>
      </c>
      <c r="I43" s="9" t="s">
        <v>62</v>
      </c>
    </row>
    <row r="44" spans="1:9">
      <c r="A44" s="3" t="s">
        <v>63</v>
      </c>
      <c r="B44" s="4"/>
      <c r="C44" s="4"/>
      <c r="D44" s="4"/>
      <c r="E44" s="4"/>
      <c r="F44" s="4"/>
      <c r="G44" s="4"/>
      <c r="H44" s="4"/>
      <c r="I44" s="4"/>
    </row>
    <row r="45" spans="1:9">
      <c r="A45" s="7" t="s">
        <v>64</v>
      </c>
      <c r="B45" s="7">
        <v>56</v>
      </c>
      <c r="C45" s="7">
        <v>66</v>
      </c>
      <c r="D45" s="7">
        <v>71</v>
      </c>
      <c r="E45" s="7">
        <f t="shared" ref="E45:E51" si="3">327-B45-C45-D45</f>
        <v>134</v>
      </c>
      <c r="F45" s="8">
        <f t="shared" ref="F45:F50" si="4">IFERROR(B45/(B45+C45),0)</f>
        <v>0.45901639344262296</v>
      </c>
      <c r="G45" s="8">
        <f t="shared" ref="G45:G50" si="5">IFERROR(B45/(B45+D45),0)</f>
        <v>0.44094488188976377</v>
      </c>
      <c r="H45" s="8">
        <f t="shared" ref="H45:H50" si="6">IFERROR(2*F45*G45/(F45+G45),0)</f>
        <v>0.44979919678714864</v>
      </c>
      <c r="I45" s="5"/>
    </row>
    <row r="46" spans="1:9">
      <c r="A46" s="5" t="s">
        <v>65</v>
      </c>
      <c r="B46" s="5">
        <v>96</v>
      </c>
      <c r="C46" s="5">
        <v>115</v>
      </c>
      <c r="D46" s="5">
        <v>31</v>
      </c>
      <c r="E46" s="5">
        <f t="shared" si="3"/>
        <v>85</v>
      </c>
      <c r="F46" s="6">
        <f t="shared" si="4"/>
        <v>0.45497630331753552</v>
      </c>
      <c r="G46" s="6">
        <f t="shared" si="5"/>
        <v>0.75590551181102361</v>
      </c>
      <c r="H46" s="6">
        <f t="shared" si="6"/>
        <v>0.56804733727810641</v>
      </c>
      <c r="I46" s="5"/>
    </row>
    <row r="47" spans="1:9">
      <c r="A47" s="5" t="s">
        <v>66</v>
      </c>
      <c r="B47" s="5">
        <v>94</v>
      </c>
      <c r="C47" s="5">
        <v>125</v>
      </c>
      <c r="D47" s="5">
        <v>33</v>
      </c>
      <c r="E47" s="5">
        <f t="shared" si="3"/>
        <v>75</v>
      </c>
      <c r="F47" s="6">
        <f t="shared" si="4"/>
        <v>0.42922374429223742</v>
      </c>
      <c r="G47" s="6">
        <f t="shared" si="5"/>
        <v>0.74015748031496065</v>
      </c>
      <c r="H47" s="6">
        <f t="shared" si="6"/>
        <v>0.54335260115606931</v>
      </c>
      <c r="I47" s="5"/>
    </row>
    <row r="48" spans="1:9">
      <c r="A48" s="5" t="s">
        <v>67</v>
      </c>
      <c r="B48" s="5">
        <v>57</v>
      </c>
      <c r="C48" s="5">
        <v>56</v>
      </c>
      <c r="D48" s="5">
        <v>70</v>
      </c>
      <c r="E48" s="5">
        <f t="shared" si="3"/>
        <v>144</v>
      </c>
      <c r="F48" s="6">
        <f t="shared" si="4"/>
        <v>0.50442477876106195</v>
      </c>
      <c r="G48" s="6">
        <f t="shared" si="5"/>
        <v>0.44881889763779526</v>
      </c>
      <c r="H48" s="6">
        <f t="shared" si="6"/>
        <v>0.47499999999999998</v>
      </c>
      <c r="I48" s="5"/>
    </row>
    <row r="49" spans="1:9">
      <c r="A49" s="7" t="s">
        <v>68</v>
      </c>
      <c r="B49" s="7">
        <v>97</v>
      </c>
      <c r="C49" s="7">
        <v>112</v>
      </c>
      <c r="D49" s="7">
        <v>30</v>
      </c>
      <c r="E49" s="7">
        <f t="shared" si="3"/>
        <v>88</v>
      </c>
      <c r="F49" s="8">
        <f t="shared" si="4"/>
        <v>0.46411483253588515</v>
      </c>
      <c r="G49" s="8">
        <f t="shared" si="5"/>
        <v>0.76377952755905509</v>
      </c>
      <c r="H49" s="8">
        <f t="shared" si="6"/>
        <v>0.57738095238095233</v>
      </c>
      <c r="I49" s="5"/>
    </row>
    <row r="50" spans="1:9">
      <c r="A50" s="5" t="s">
        <v>69</v>
      </c>
      <c r="B50" s="5">
        <v>91</v>
      </c>
      <c r="C50" s="5">
        <v>113</v>
      </c>
      <c r="D50" s="5">
        <v>36</v>
      </c>
      <c r="E50" s="5">
        <f t="shared" si="3"/>
        <v>87</v>
      </c>
      <c r="F50" s="6">
        <f t="shared" si="4"/>
        <v>0.44607843137254904</v>
      </c>
      <c r="G50" s="6">
        <f t="shared" si="5"/>
        <v>0.71653543307086609</v>
      </c>
      <c r="H50" s="6">
        <f t="shared" si="6"/>
        <v>0.54984894259818728</v>
      </c>
      <c r="I50" s="5"/>
    </row>
    <row r="51" spans="1:9">
      <c r="A51" s="9" t="s">
        <v>70</v>
      </c>
      <c r="B51" s="10">
        <f>AVERAGE(B46,B47,B48,B49,B50)</f>
        <v>87</v>
      </c>
      <c r="C51" s="10">
        <f>AVERAGE(C46,C47,C48,C49,C50)</f>
        <v>104.2</v>
      </c>
      <c r="D51" s="10">
        <f>AVERAGE(D46,D47,D48,D49,D50)</f>
        <v>40</v>
      </c>
      <c r="E51" s="10">
        <f t="shared" si="3"/>
        <v>95.800000000000011</v>
      </c>
      <c r="F51" s="11">
        <f>AVERAGE(F46,F47,F48,F49,F50)</f>
        <v>0.45976361805585386</v>
      </c>
      <c r="G51" s="11">
        <f>AVERAGE(G46,G47,G48,G49,G50)</f>
        <v>0.68503937007874016</v>
      </c>
      <c r="H51" s="11">
        <f>AVERAGE(H46,H47,H48,H49,H50)</f>
        <v>0.54272596668266315</v>
      </c>
      <c r="I51" s="9" t="s">
        <v>71</v>
      </c>
    </row>
    <row r="52" spans="1:9">
      <c r="A52" s="3" t="s">
        <v>72</v>
      </c>
      <c r="B52" s="4"/>
      <c r="C52" s="4"/>
      <c r="D52" s="4"/>
      <c r="E52" s="4"/>
      <c r="F52" s="4"/>
      <c r="G52" s="4"/>
      <c r="H52" s="4"/>
      <c r="I52" s="4"/>
    </row>
    <row r="53" spans="1:9">
      <c r="A53" s="7" t="s">
        <v>73</v>
      </c>
      <c r="B53" s="7">
        <v>96</v>
      </c>
      <c r="C53" s="7">
        <v>120</v>
      </c>
      <c r="D53" s="7">
        <v>31</v>
      </c>
      <c r="E53" s="7">
        <f t="shared" ref="E53:E64" si="7">327-B53-C53-D53</f>
        <v>80</v>
      </c>
      <c r="F53" s="8">
        <f>IFERROR(B53/(B53+C53),0)</f>
        <v>0.44444444444444442</v>
      </c>
      <c r="G53" s="8">
        <f>IFERROR(B53/(B53+D53),0)</f>
        <v>0.75590551181102361</v>
      </c>
      <c r="H53" s="8">
        <f>IFERROR(2*F53*G53/(F53+G53),0)</f>
        <v>0.55976676384839652</v>
      </c>
      <c r="I53" s="5" t="s">
        <v>74</v>
      </c>
    </row>
    <row r="54" spans="1:9">
      <c r="A54" s="5" t="s">
        <v>75</v>
      </c>
      <c r="B54" s="5">
        <v>93</v>
      </c>
      <c r="C54" s="5">
        <v>129</v>
      </c>
      <c r="D54" s="5">
        <v>34</v>
      </c>
      <c r="E54" s="5">
        <f t="shared" si="7"/>
        <v>71</v>
      </c>
      <c r="F54" s="6">
        <f>IFERROR(B54/(B54+C54),0)</f>
        <v>0.41891891891891891</v>
      </c>
      <c r="G54" s="6">
        <f>IFERROR(B54/(B54+D54),0)</f>
        <v>0.73228346456692917</v>
      </c>
      <c r="H54" s="6">
        <f>IFERROR(2*F54*G54/(F54+G54),0)</f>
        <v>0.53295128939828085</v>
      </c>
      <c r="I54" s="5"/>
    </row>
    <row r="55" spans="1:9">
      <c r="A55" s="5" t="s">
        <v>76</v>
      </c>
      <c r="B55" s="5">
        <v>71</v>
      </c>
      <c r="C55" s="5">
        <v>72</v>
      </c>
      <c r="D55" s="5">
        <v>56</v>
      </c>
      <c r="E55" s="5">
        <f t="shared" si="7"/>
        <v>128</v>
      </c>
      <c r="F55" s="6">
        <f>IFERROR(B55/(B55+C55),0)</f>
        <v>0.49650349650349651</v>
      </c>
      <c r="G55" s="6">
        <f>IFERROR(B55/(B55+D55),0)</f>
        <v>0.55905511811023623</v>
      </c>
      <c r="H55" s="6">
        <f>IFERROR(2*F55*G55/(F55+G55),0)</f>
        <v>0.52592592592592591</v>
      </c>
      <c r="I55" s="5"/>
    </row>
    <row r="56" spans="1:9">
      <c r="A56" s="5" t="s">
        <v>77</v>
      </c>
      <c r="B56" s="5">
        <v>95</v>
      </c>
      <c r="C56" s="5">
        <v>126</v>
      </c>
      <c r="D56" s="5">
        <v>32</v>
      </c>
      <c r="E56" s="5">
        <f t="shared" si="7"/>
        <v>74</v>
      </c>
      <c r="F56" s="6">
        <f>IFERROR(B56/(B56+C56),0)</f>
        <v>0.42986425339366519</v>
      </c>
      <c r="G56" s="6">
        <f>IFERROR(B56/(B56+D56),0)</f>
        <v>0.74803149606299213</v>
      </c>
      <c r="H56" s="6">
        <f>IFERROR(2*F56*G56/(F56+G56),0)</f>
        <v>0.54597701149425293</v>
      </c>
      <c r="I56" s="5"/>
    </row>
    <row r="57" spans="1:9">
      <c r="A57" s="5" t="s">
        <v>78</v>
      </c>
      <c r="B57" s="5">
        <v>91</v>
      </c>
      <c r="C57" s="5">
        <v>122</v>
      </c>
      <c r="D57" s="5">
        <v>36</v>
      </c>
      <c r="E57" s="5">
        <f t="shared" si="7"/>
        <v>78</v>
      </c>
      <c r="F57" s="6">
        <f>IFERROR(B57/(B57+C57),0)</f>
        <v>0.42723004694835681</v>
      </c>
      <c r="G57" s="6">
        <f>IFERROR(B57/(B57+D57),0)</f>
        <v>0.71653543307086609</v>
      </c>
      <c r="H57" s="6">
        <f>IFERROR(2*F57*G57/(F57+G57),0)</f>
        <v>0.53529411764705881</v>
      </c>
      <c r="I57" s="5"/>
    </row>
    <row r="58" spans="1:9">
      <c r="A58" s="9" t="s">
        <v>79</v>
      </c>
      <c r="B58" s="10">
        <f>AVERAGE(B53,B54,B55,B56,B57)</f>
        <v>89.2</v>
      </c>
      <c r="C58" s="10">
        <f>AVERAGE(C53,C54,C55,C56,C57)</f>
        <v>113.8</v>
      </c>
      <c r="D58" s="10">
        <f>AVERAGE(D53,D54,D55,D56,D57)</f>
        <v>37.799999999999997</v>
      </c>
      <c r="E58" s="10">
        <f t="shared" si="7"/>
        <v>86.200000000000017</v>
      </c>
      <c r="F58" s="11">
        <f>AVERAGE(F53,F54,F55,F56,F57)</f>
        <v>0.44339223204177636</v>
      </c>
      <c r="G58" s="11">
        <f>AVERAGE(G53,G54,G55,G56,G57)</f>
        <v>0.70236220472440947</v>
      </c>
      <c r="H58" s="11">
        <f>AVERAGE(H53,H54,H55,H56,H57)</f>
        <v>0.539983021662783</v>
      </c>
      <c r="I58" s="9"/>
    </row>
    <row r="59" spans="1:9">
      <c r="A59" s="7" t="s">
        <v>80</v>
      </c>
      <c r="B59" s="7">
        <v>111</v>
      </c>
      <c r="C59" s="7">
        <v>157</v>
      </c>
      <c r="D59" s="7">
        <v>16</v>
      </c>
      <c r="E59" s="7">
        <f t="shared" si="7"/>
        <v>43</v>
      </c>
      <c r="F59" s="8">
        <f>IFERROR(B59/(B59+C59),0)</f>
        <v>0.41417910447761191</v>
      </c>
      <c r="G59" s="8">
        <f>IFERROR(B59/(B59+D59),0)</f>
        <v>0.87401574803149606</v>
      </c>
      <c r="H59" s="8">
        <f>IFERROR(2*F59*G59/(F59+G59),0)</f>
        <v>0.5620253164556962</v>
      </c>
      <c r="I59" s="5" t="s">
        <v>74</v>
      </c>
    </row>
    <row r="60" spans="1:9">
      <c r="A60" s="5" t="s">
        <v>81</v>
      </c>
      <c r="B60" s="5">
        <v>111</v>
      </c>
      <c r="C60" s="5">
        <v>165</v>
      </c>
      <c r="D60" s="5">
        <v>16</v>
      </c>
      <c r="E60" s="5">
        <f t="shared" si="7"/>
        <v>35</v>
      </c>
      <c r="F60" s="6">
        <f>IFERROR(B60/(B60+C60),0)</f>
        <v>0.40217391304347827</v>
      </c>
      <c r="G60" s="6">
        <f>IFERROR(B60/(B60+D60),0)</f>
        <v>0.87401574803149606</v>
      </c>
      <c r="H60" s="6">
        <f>IFERROR(2*F60*G60/(F60+G60),0)</f>
        <v>0.5508684863523573</v>
      </c>
      <c r="I60" s="5"/>
    </row>
    <row r="61" spans="1:9">
      <c r="A61" s="5" t="s">
        <v>82</v>
      </c>
      <c r="B61" s="5">
        <v>97</v>
      </c>
      <c r="C61" s="5">
        <v>134</v>
      </c>
      <c r="D61" s="5">
        <v>30</v>
      </c>
      <c r="E61" s="5">
        <f t="shared" si="7"/>
        <v>66</v>
      </c>
      <c r="F61" s="6">
        <f>IFERROR(B61/(B61+C61),0)</f>
        <v>0.41991341991341991</v>
      </c>
      <c r="G61" s="6">
        <f>IFERROR(B61/(B61+D61),0)</f>
        <v>0.76377952755905509</v>
      </c>
      <c r="H61" s="6">
        <f>IFERROR(2*F61*G61/(F61+G61),0)</f>
        <v>0.54189944134078216</v>
      </c>
      <c r="I61" s="5"/>
    </row>
    <row r="62" spans="1:9">
      <c r="A62" s="5" t="s">
        <v>83</v>
      </c>
      <c r="B62" s="5">
        <v>108</v>
      </c>
      <c r="C62" s="5">
        <v>165</v>
      </c>
      <c r="D62" s="5">
        <v>19</v>
      </c>
      <c r="E62" s="5">
        <f t="shared" si="7"/>
        <v>35</v>
      </c>
      <c r="F62" s="6">
        <f>IFERROR(B62/(B62+C62),0)</f>
        <v>0.39560439560439559</v>
      </c>
      <c r="G62" s="6">
        <f>IFERROR(B62/(B62+D62),0)</f>
        <v>0.85039370078740162</v>
      </c>
      <c r="H62" s="6">
        <f>IFERROR(2*F62*G62/(F62+G62),0)</f>
        <v>0.54</v>
      </c>
      <c r="I62" s="5"/>
    </row>
    <row r="63" spans="1:9">
      <c r="A63" s="5" t="s">
        <v>84</v>
      </c>
      <c r="B63" s="5">
        <v>106</v>
      </c>
      <c r="C63" s="5">
        <v>159</v>
      </c>
      <c r="D63" s="5">
        <v>21</v>
      </c>
      <c r="E63" s="5">
        <f t="shared" si="7"/>
        <v>41</v>
      </c>
      <c r="F63" s="6">
        <f>IFERROR(B63/(B63+C63),0)</f>
        <v>0.4</v>
      </c>
      <c r="G63" s="6">
        <f>IFERROR(B63/(B63+D63),0)</f>
        <v>0.83464566929133854</v>
      </c>
      <c r="H63" s="6">
        <f>IFERROR(2*F63*G63/(F63+G63),0)</f>
        <v>0.54081632653061229</v>
      </c>
      <c r="I63" s="5"/>
    </row>
    <row r="64" spans="1:9">
      <c r="A64" s="9" t="s">
        <v>85</v>
      </c>
      <c r="B64" s="10">
        <f>AVERAGE(B59,B60,B61,B62,B63)</f>
        <v>106.6</v>
      </c>
      <c r="C64" s="10">
        <f>AVERAGE(C59,C60,C61,C62,C63)</f>
        <v>156</v>
      </c>
      <c r="D64" s="10">
        <f>AVERAGE(D59,D60,D61,D62,D63)</f>
        <v>20.399999999999999</v>
      </c>
      <c r="E64" s="10">
        <f t="shared" si="7"/>
        <v>44.000000000000007</v>
      </c>
      <c r="F64" s="11">
        <f>AVERAGE(F59,F60,F61,F62,F63)</f>
        <v>0.40637416660778108</v>
      </c>
      <c r="G64" s="11">
        <f>AVERAGE(G59,G60,G61,G62,G63)</f>
        <v>0.83937007874015757</v>
      </c>
      <c r="H64" s="11">
        <f>AVERAGE(H59,H60,H61,H62,H63)</f>
        <v>0.54712191413588962</v>
      </c>
      <c r="I64" s="9" t="s">
        <v>86</v>
      </c>
    </row>
    <row r="65" spans="1:9">
      <c r="A65" s="3" t="s">
        <v>87</v>
      </c>
      <c r="B65" s="4"/>
      <c r="C65" s="4"/>
      <c r="D65" s="4"/>
      <c r="E65" s="4"/>
      <c r="F65" s="4"/>
      <c r="G65" s="4"/>
      <c r="H65" s="4"/>
      <c r="I65" s="4"/>
    </row>
    <row r="66" spans="1:9">
      <c r="A66" s="7" t="s">
        <v>88</v>
      </c>
      <c r="B66" s="7">
        <v>110</v>
      </c>
      <c r="C66" s="7">
        <v>152</v>
      </c>
      <c r="D66" s="7">
        <v>17</v>
      </c>
      <c r="E66" s="7">
        <f t="shared" ref="E66:E77" si="8">327-B66-C66-D66</f>
        <v>48</v>
      </c>
      <c r="F66" s="8">
        <f>IFERROR(B66/(B66+C66),0)</f>
        <v>0.41984732824427479</v>
      </c>
      <c r="G66" s="8">
        <f>IFERROR(B66/(B66+D66),0)</f>
        <v>0.86614173228346458</v>
      </c>
      <c r="H66" s="8">
        <f>IFERROR(2*F66*G66/(F66+G66),0)</f>
        <v>0.56555269922879181</v>
      </c>
      <c r="I66" s="5"/>
    </row>
    <row r="67" spans="1:9">
      <c r="A67" s="5" t="s">
        <v>89</v>
      </c>
      <c r="B67" s="5">
        <v>107</v>
      </c>
      <c r="C67" s="5">
        <v>148</v>
      </c>
      <c r="D67" s="5">
        <v>20</v>
      </c>
      <c r="E67" s="5">
        <f t="shared" si="8"/>
        <v>52</v>
      </c>
      <c r="F67" s="6">
        <f>IFERROR(B67/(B67+C67),0)</f>
        <v>0.41960784313725491</v>
      </c>
      <c r="G67" s="6">
        <f>IFERROR(B67/(B67+D67),0)</f>
        <v>0.84251968503937003</v>
      </c>
      <c r="H67" s="6">
        <f>IFERROR(2*F67*G67/(F67+G67),0)</f>
        <v>0.56020942408376972</v>
      </c>
      <c r="I67" s="5"/>
    </row>
    <row r="68" spans="1:9">
      <c r="A68" s="5" t="s">
        <v>90</v>
      </c>
      <c r="B68" s="5">
        <v>97</v>
      </c>
      <c r="C68" s="5">
        <v>129</v>
      </c>
      <c r="D68" s="5">
        <v>30</v>
      </c>
      <c r="E68" s="5">
        <f t="shared" si="8"/>
        <v>71</v>
      </c>
      <c r="F68" s="6">
        <f>IFERROR(B68/(B68+C68),0)</f>
        <v>0.42920353982300885</v>
      </c>
      <c r="G68" s="6">
        <f>IFERROR(B68/(B68+D68),0)</f>
        <v>0.76377952755905509</v>
      </c>
      <c r="H68" s="6">
        <f>IFERROR(2*F68*G68/(F68+G68),0)</f>
        <v>0.54957507082152979</v>
      </c>
      <c r="I68" s="5"/>
    </row>
    <row r="69" spans="1:9">
      <c r="A69" s="5" t="s">
        <v>91</v>
      </c>
      <c r="B69" s="5">
        <v>104</v>
      </c>
      <c r="C69" s="5">
        <v>145</v>
      </c>
      <c r="D69" s="5">
        <v>23</v>
      </c>
      <c r="E69" s="5">
        <f t="shared" si="8"/>
        <v>55</v>
      </c>
      <c r="F69" s="6">
        <f>IFERROR(B69/(B69+C69),0)</f>
        <v>0.41767068273092367</v>
      </c>
      <c r="G69" s="6">
        <f>IFERROR(B69/(B69+D69),0)</f>
        <v>0.81889763779527558</v>
      </c>
      <c r="H69" s="6">
        <f>IFERROR(2*F69*G69/(F69+G69),0)</f>
        <v>0.55319148936170215</v>
      </c>
      <c r="I69" s="5"/>
    </row>
    <row r="70" spans="1:9">
      <c r="A70" s="5" t="s">
        <v>92</v>
      </c>
      <c r="B70" s="5">
        <v>105</v>
      </c>
      <c r="C70" s="5">
        <v>146</v>
      </c>
      <c r="D70" s="5">
        <v>22</v>
      </c>
      <c r="E70" s="5">
        <f t="shared" si="8"/>
        <v>54</v>
      </c>
      <c r="F70" s="6">
        <f>IFERROR(B70/(B70+C70),0)</f>
        <v>0.41832669322709165</v>
      </c>
      <c r="G70" s="6">
        <f>IFERROR(B70/(B70+D70),0)</f>
        <v>0.82677165354330706</v>
      </c>
      <c r="H70" s="6">
        <f>IFERROR(2*F70*G70/(F70+G70),0)</f>
        <v>0.55555555555555558</v>
      </c>
      <c r="I70" s="5"/>
    </row>
    <row r="71" spans="1:9">
      <c r="A71" s="9" t="s">
        <v>93</v>
      </c>
      <c r="B71" s="10">
        <f>AVERAGE(B66,B67,B68,B69,B70)</f>
        <v>104.6</v>
      </c>
      <c r="C71" s="10">
        <f>AVERAGE(C66,C67,C68,C69,C70)</f>
        <v>144</v>
      </c>
      <c r="D71" s="10">
        <f>AVERAGE(D66,D67,D68,D69,D70)</f>
        <v>22.4</v>
      </c>
      <c r="E71" s="10">
        <f t="shared" si="8"/>
        <v>56.000000000000007</v>
      </c>
      <c r="F71" s="11">
        <f>AVERAGE(F66,F67,F68,F69,F70)</f>
        <v>0.42093121743251077</v>
      </c>
      <c r="G71" s="11">
        <f>AVERAGE(G66,G67,G68,G69,G70)</f>
        <v>0.82362204724409449</v>
      </c>
      <c r="H71" s="11">
        <f>AVERAGE(H66,H67,H68,H69,H70)</f>
        <v>0.55681684781026985</v>
      </c>
      <c r="I71" s="9"/>
    </row>
    <row r="72" spans="1:9">
      <c r="A72" s="5" t="s">
        <v>94</v>
      </c>
      <c r="B72" s="5">
        <v>87</v>
      </c>
      <c r="C72" s="5">
        <v>97</v>
      </c>
      <c r="D72" s="5">
        <v>40</v>
      </c>
      <c r="E72" s="5">
        <f t="shared" si="8"/>
        <v>103</v>
      </c>
      <c r="F72" s="6">
        <f>IFERROR(B72/(B72+C72),0)</f>
        <v>0.47282608695652173</v>
      </c>
      <c r="G72" s="6">
        <f>IFERROR(B72/(B72+D72),0)</f>
        <v>0.68503937007874016</v>
      </c>
      <c r="H72" s="6">
        <f>IFERROR(2*F72*G72/(F72+G72),0)</f>
        <v>0.55948553054662387</v>
      </c>
      <c r="I72" s="5"/>
    </row>
    <row r="73" spans="1:9">
      <c r="A73" s="5" t="s">
        <v>95</v>
      </c>
      <c r="B73" s="5">
        <v>80</v>
      </c>
      <c r="C73" s="5">
        <v>94</v>
      </c>
      <c r="D73" s="5">
        <v>47</v>
      </c>
      <c r="E73" s="5">
        <f t="shared" si="8"/>
        <v>106</v>
      </c>
      <c r="F73" s="6">
        <f>IFERROR(B73/(B73+C73),0)</f>
        <v>0.45977011494252873</v>
      </c>
      <c r="G73" s="6">
        <f>IFERROR(B73/(B73+D73),0)</f>
        <v>0.62992125984251968</v>
      </c>
      <c r="H73" s="6">
        <f>IFERROR(2*F73*G73/(F73+G73),0)</f>
        <v>0.53156146179401986</v>
      </c>
      <c r="I73" s="5"/>
    </row>
    <row r="74" spans="1:9">
      <c r="A74" s="5" t="s">
        <v>96</v>
      </c>
      <c r="B74" s="5">
        <v>44</v>
      </c>
      <c r="C74" s="5">
        <v>46</v>
      </c>
      <c r="D74" s="5">
        <v>83</v>
      </c>
      <c r="E74" s="5">
        <f t="shared" si="8"/>
        <v>154</v>
      </c>
      <c r="F74" s="6">
        <f>IFERROR(B74/(B74+C74),0)</f>
        <v>0.48888888888888887</v>
      </c>
      <c r="G74" s="6">
        <f>IFERROR(B74/(B74+D74),0)</f>
        <v>0.34645669291338582</v>
      </c>
      <c r="H74" s="6">
        <f>IFERROR(2*F74*G74/(F74+G74),0)</f>
        <v>0.40552995391705066</v>
      </c>
      <c r="I74" s="5"/>
    </row>
    <row r="75" spans="1:9">
      <c r="A75" s="5" t="s">
        <v>97</v>
      </c>
      <c r="B75" s="5">
        <v>82</v>
      </c>
      <c r="C75" s="5">
        <v>85</v>
      </c>
      <c r="D75" s="5">
        <v>45</v>
      </c>
      <c r="E75" s="5">
        <f t="shared" si="8"/>
        <v>115</v>
      </c>
      <c r="F75" s="6">
        <f>IFERROR(B75/(B75+C75),0)</f>
        <v>0.49101796407185627</v>
      </c>
      <c r="G75" s="6">
        <f>IFERROR(B75/(B75+D75),0)</f>
        <v>0.64566929133858264</v>
      </c>
      <c r="H75" s="6">
        <f>IFERROR(2*F75*G75/(F75+G75),0)</f>
        <v>0.55782312925170074</v>
      </c>
      <c r="I75" s="5"/>
    </row>
    <row r="76" spans="1:9">
      <c r="A76" s="7" t="s">
        <v>98</v>
      </c>
      <c r="B76" s="7">
        <v>84</v>
      </c>
      <c r="C76" s="7">
        <v>88</v>
      </c>
      <c r="D76" s="7">
        <v>43</v>
      </c>
      <c r="E76" s="7">
        <f t="shared" si="8"/>
        <v>112</v>
      </c>
      <c r="F76" s="8">
        <f>IFERROR(B76/(B76+C76),0)</f>
        <v>0.48837209302325579</v>
      </c>
      <c r="G76" s="8">
        <f>IFERROR(B76/(B76+D76),0)</f>
        <v>0.66141732283464572</v>
      </c>
      <c r="H76" s="8">
        <f>IFERROR(2*F76*G76/(F76+G76),0)</f>
        <v>0.56187290969899661</v>
      </c>
      <c r="I76" s="5"/>
    </row>
    <row r="77" spans="1:9">
      <c r="A77" s="9" t="s">
        <v>99</v>
      </c>
      <c r="B77" s="10">
        <f>AVERAGE(B72,B73,B74,B75,B76)</f>
        <v>75.400000000000006</v>
      </c>
      <c r="C77" s="10">
        <f>AVERAGE(C72,C73,C74,C75,C76)</f>
        <v>82</v>
      </c>
      <c r="D77" s="10">
        <f>AVERAGE(D72,D73,D74,D75,D76)</f>
        <v>51.6</v>
      </c>
      <c r="E77" s="10">
        <f t="shared" si="8"/>
        <v>118</v>
      </c>
      <c r="F77" s="11">
        <f>AVERAGE(F72,F73,F74,F75,F76)</f>
        <v>0.48017502957661023</v>
      </c>
      <c r="G77" s="11">
        <f>AVERAGE(G72,G73,G74,G75,G76)</f>
        <v>0.59370078740157484</v>
      </c>
      <c r="H77" s="11">
        <f>AVERAGE(H72,H73,H74,H75,H76)</f>
        <v>0.52325459704167843</v>
      </c>
      <c r="I77" s="9"/>
    </row>
  </sheetData>
  <mergeCells count="16">
    <mergeCell ref="B1:I1"/>
    <mergeCell ref="B8:I8"/>
    <mergeCell ref="B4:I4"/>
    <mergeCell ref="B6:I6"/>
    <mergeCell ref="B2:I2"/>
    <mergeCell ref="B16:I16"/>
    <mergeCell ref="B10:I10"/>
    <mergeCell ref="B3:I3"/>
    <mergeCell ref="B5:I5"/>
    <mergeCell ref="B14:I14"/>
    <mergeCell ref="B9:I9"/>
    <mergeCell ref="B12:I12"/>
    <mergeCell ref="B13:I13"/>
    <mergeCell ref="B15:I15"/>
    <mergeCell ref="B7:I7"/>
    <mergeCell ref="B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workbookViewId="0"/>
  </sheetViews>
  <sheetFormatPr defaultRowHeight="14.35"/>
  <cols>
    <col min="1" max="1" width="34" customWidth="1"/>
    <col min="2" max="5" width="7" customWidth="1"/>
    <col min="6" max="8" width="8" customWidth="1"/>
    <col min="9" max="9" width="70" customWidth="1"/>
  </cols>
  <sheetData>
    <row r="1" spans="1:9" ht="30" customHeight="1">
      <c r="A1" s="1" t="s">
        <v>0</v>
      </c>
      <c r="B1" s="17" t="s">
        <v>100</v>
      </c>
      <c r="C1" s="18"/>
      <c r="D1" s="18"/>
      <c r="E1" s="18"/>
      <c r="F1" s="18"/>
      <c r="G1" s="18"/>
      <c r="H1" s="18"/>
      <c r="I1" s="18"/>
    </row>
    <row r="2" spans="1:9" ht="15" customHeight="1">
      <c r="A2" s="1" t="s">
        <v>2</v>
      </c>
      <c r="B2" s="19" t="s">
        <v>3</v>
      </c>
      <c r="C2" s="18"/>
      <c r="D2" s="18"/>
      <c r="E2" s="18"/>
      <c r="F2" s="18"/>
      <c r="G2" s="18"/>
      <c r="H2" s="18"/>
      <c r="I2" s="18"/>
    </row>
    <row r="3" spans="1:9" ht="15" customHeight="1">
      <c r="A3" s="1" t="s">
        <v>4</v>
      </c>
      <c r="B3" s="17" t="s">
        <v>101</v>
      </c>
      <c r="C3" s="18"/>
      <c r="D3" s="18"/>
      <c r="E3" s="18"/>
      <c r="F3" s="18"/>
      <c r="G3" s="18"/>
      <c r="H3" s="18"/>
      <c r="I3" s="18"/>
    </row>
    <row r="4" spans="1:9" ht="15" customHeight="1">
      <c r="A4" s="1" t="s">
        <v>6</v>
      </c>
      <c r="B4" s="17" t="s">
        <v>102</v>
      </c>
      <c r="C4" s="18"/>
      <c r="D4" s="18"/>
      <c r="E4" s="18"/>
      <c r="F4" s="18"/>
      <c r="G4" s="18"/>
      <c r="H4" s="18"/>
      <c r="I4" s="18"/>
    </row>
    <row r="5" spans="1:9" ht="15" customHeight="1">
      <c r="A5" s="1" t="s">
        <v>8</v>
      </c>
      <c r="B5" s="17" t="s">
        <v>103</v>
      </c>
      <c r="C5" s="18"/>
      <c r="D5" s="18"/>
      <c r="E5" s="18"/>
      <c r="F5" s="18"/>
      <c r="G5" s="18"/>
      <c r="H5" s="18"/>
      <c r="I5" s="18"/>
    </row>
    <row r="6" spans="1:9" ht="15" customHeight="1">
      <c r="A6" s="1" t="s">
        <v>10</v>
      </c>
      <c r="B6" s="17">
        <v>25</v>
      </c>
      <c r="C6" s="18"/>
      <c r="D6" s="18"/>
      <c r="E6" s="18"/>
      <c r="F6" s="18"/>
      <c r="G6" s="18"/>
      <c r="H6" s="18"/>
      <c r="I6" s="18"/>
    </row>
    <row r="7" spans="1:9" ht="15" customHeight="1">
      <c r="A7" s="1" t="s">
        <v>11</v>
      </c>
      <c r="B7" s="17">
        <v>327</v>
      </c>
      <c r="C7" s="18"/>
      <c r="D7" s="18"/>
      <c r="E7" s="18"/>
      <c r="F7" s="18"/>
      <c r="G7" s="18"/>
      <c r="H7" s="18"/>
      <c r="I7" s="18"/>
    </row>
    <row r="8" spans="1:9" ht="15" customHeight="1">
      <c r="A8" s="1" t="s">
        <v>12</v>
      </c>
      <c r="B8" s="17">
        <v>127</v>
      </c>
      <c r="C8" s="18"/>
      <c r="D8" s="18"/>
      <c r="E8" s="18"/>
      <c r="F8" s="18"/>
      <c r="G8" s="18"/>
      <c r="H8" s="18"/>
      <c r="I8" s="18"/>
    </row>
    <row r="9" spans="1:9" ht="15" customHeight="1">
      <c r="A9" s="1" t="s">
        <v>13</v>
      </c>
      <c r="B9" s="17">
        <v>200</v>
      </c>
      <c r="C9" s="18"/>
      <c r="D9" s="18"/>
      <c r="E9" s="18"/>
      <c r="F9" s="18"/>
      <c r="G9" s="18"/>
      <c r="H9" s="18"/>
      <c r="I9" s="18"/>
    </row>
    <row r="10" spans="1:9" ht="15" customHeight="1">
      <c r="A10" s="1" t="s">
        <v>14</v>
      </c>
      <c r="B10" s="17">
        <v>0.38840000000000002</v>
      </c>
      <c r="C10" s="18"/>
      <c r="D10" s="18"/>
      <c r="E10" s="18"/>
      <c r="F10" s="18"/>
      <c r="G10" s="18"/>
      <c r="H10" s="18"/>
      <c r="I10" s="18"/>
    </row>
    <row r="11" spans="1:9" ht="15" customHeight="1">
      <c r="A11" s="1" t="s">
        <v>15</v>
      </c>
      <c r="B11" s="17">
        <v>327</v>
      </c>
      <c r="C11" s="18"/>
      <c r="D11" s="18"/>
      <c r="E11" s="18"/>
      <c r="F11" s="18"/>
      <c r="G11" s="18"/>
      <c r="H11" s="18"/>
      <c r="I11" s="18"/>
    </row>
    <row r="12" spans="1:9" ht="15" customHeight="1">
      <c r="A12" s="1" t="s">
        <v>16</v>
      </c>
      <c r="B12" s="17">
        <v>1</v>
      </c>
      <c r="C12" s="18"/>
      <c r="D12" s="18"/>
      <c r="E12" s="18"/>
      <c r="F12" s="18"/>
      <c r="G12" s="18"/>
      <c r="H12" s="18"/>
      <c r="I12" s="18"/>
    </row>
    <row r="13" spans="1:9" ht="15" customHeight="1">
      <c r="A13" s="1" t="s">
        <v>104</v>
      </c>
      <c r="B13" s="17" t="s">
        <v>105</v>
      </c>
      <c r="C13" s="18"/>
      <c r="D13" s="18"/>
      <c r="E13" s="18"/>
      <c r="F13" s="18"/>
      <c r="G13" s="18"/>
      <c r="H13" s="18"/>
      <c r="I13" s="18"/>
    </row>
    <row r="14" spans="1:9" ht="15" customHeight="1">
      <c r="A14" s="1" t="s">
        <v>106</v>
      </c>
      <c r="B14" s="17" t="s">
        <v>107</v>
      </c>
      <c r="C14" s="18"/>
      <c r="D14" s="18"/>
      <c r="E14" s="18"/>
      <c r="F14" s="18"/>
      <c r="G14" s="18"/>
      <c r="H14" s="18"/>
      <c r="I14" s="18"/>
    </row>
    <row r="15" spans="1:9" ht="15" customHeight="1">
      <c r="A15" s="1" t="s">
        <v>21</v>
      </c>
      <c r="B15" s="17" t="s">
        <v>108</v>
      </c>
      <c r="C15" s="18"/>
      <c r="D15" s="18"/>
      <c r="E15" s="18"/>
      <c r="F15" s="18"/>
      <c r="G15" s="18"/>
      <c r="H15" s="18"/>
      <c r="I15" s="18"/>
    </row>
    <row r="16" spans="1:9" ht="30" customHeight="1">
      <c r="A16" s="1" t="s">
        <v>23</v>
      </c>
      <c r="B16" s="17" t="s">
        <v>24</v>
      </c>
      <c r="C16" s="18"/>
      <c r="D16" s="18"/>
      <c r="E16" s="18"/>
      <c r="F16" s="18"/>
      <c r="G16" s="18"/>
      <c r="H16" s="18"/>
      <c r="I16" s="18"/>
    </row>
    <row r="18" spans="1:9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31</v>
      </c>
      <c r="H18" s="2" t="s">
        <v>32</v>
      </c>
      <c r="I18" s="2" t="s">
        <v>33</v>
      </c>
    </row>
    <row r="19" spans="1:9">
      <c r="A19" s="3" t="s">
        <v>109</v>
      </c>
      <c r="B19" s="4"/>
      <c r="C19" s="4"/>
      <c r="D19" s="4"/>
      <c r="E19" s="4"/>
      <c r="F19" s="4"/>
      <c r="G19" s="4"/>
      <c r="H19" s="4"/>
      <c r="I19" s="4"/>
    </row>
    <row r="20" spans="1:9">
      <c r="A20" s="5" t="s">
        <v>35</v>
      </c>
      <c r="B20" s="5">
        <v>39</v>
      </c>
      <c r="C20" s="5">
        <v>41</v>
      </c>
      <c r="D20" s="5">
        <v>88</v>
      </c>
      <c r="E20" s="5">
        <f>327-B20-C20-D20</f>
        <v>159</v>
      </c>
      <c r="F20" s="6">
        <f>IFERROR(B20/(B20+C20),0)</f>
        <v>0.48749999999999999</v>
      </c>
      <c r="G20" s="6">
        <f>IFERROR(B20/(B20+D20),0)</f>
        <v>0.30708661417322836</v>
      </c>
      <c r="H20" s="6">
        <f>IFERROR(2*F20*G20/(F20+G20),0)</f>
        <v>0.37681159420289856</v>
      </c>
      <c r="I20" s="5"/>
    </row>
    <row r="21" spans="1:9">
      <c r="A21" s="7" t="s">
        <v>36</v>
      </c>
      <c r="B21" s="7">
        <v>93</v>
      </c>
      <c r="C21" s="7">
        <v>119</v>
      </c>
      <c r="D21" s="7">
        <v>34</v>
      </c>
      <c r="E21" s="7">
        <f>327-B21-C21-D21</f>
        <v>81</v>
      </c>
      <c r="F21" s="8">
        <f>IFERROR(B21/(B21+C21),0)</f>
        <v>0.43867924528301888</v>
      </c>
      <c r="G21" s="8">
        <f>IFERROR(B21/(B21+D21),0)</f>
        <v>0.73228346456692917</v>
      </c>
      <c r="H21" s="8">
        <f>IFERROR(2*F21*G21/(F21+G21),0)</f>
        <v>0.54867256637168138</v>
      </c>
      <c r="I21" s="5"/>
    </row>
    <row r="22" spans="1:9">
      <c r="A22" s="5" t="s">
        <v>37</v>
      </c>
      <c r="B22" s="5">
        <v>47</v>
      </c>
      <c r="C22" s="5">
        <v>65</v>
      </c>
      <c r="D22" s="5">
        <v>80</v>
      </c>
      <c r="E22" s="5">
        <f>327-B22-C22-D22</f>
        <v>135</v>
      </c>
      <c r="F22" s="6">
        <f>IFERROR(B22/(B22+C22),0)</f>
        <v>0.41964285714285715</v>
      </c>
      <c r="G22" s="6">
        <f>IFERROR(B22/(B22+D22),0)</f>
        <v>0.37007874015748032</v>
      </c>
      <c r="H22" s="6">
        <f>IFERROR(2*F22*G22/(F22+G22),0)</f>
        <v>0.3933054393305439</v>
      </c>
      <c r="I22" s="5"/>
    </row>
    <row r="23" spans="1:9">
      <c r="A23" s="3" t="s">
        <v>110</v>
      </c>
      <c r="B23" s="4"/>
      <c r="C23" s="4"/>
      <c r="D23" s="4"/>
      <c r="E23" s="4"/>
      <c r="F23" s="4"/>
      <c r="G23" s="4"/>
      <c r="H23" s="4"/>
      <c r="I23" s="4"/>
    </row>
    <row r="24" spans="1:9">
      <c r="A24" s="5" t="s">
        <v>111</v>
      </c>
      <c r="B24" s="5">
        <v>67</v>
      </c>
      <c r="C24" s="5">
        <v>66</v>
      </c>
      <c r="D24" s="5">
        <v>60</v>
      </c>
      <c r="E24" s="5">
        <f t="shared" ref="E24:E32" si="0">327-B24-C24-D24</f>
        <v>134</v>
      </c>
      <c r="F24" s="6">
        <f t="shared" ref="F24:F31" si="1">IFERROR(B24/(B24+C24),0)</f>
        <v>0.50375939849624063</v>
      </c>
      <c r="G24" s="6">
        <f t="shared" ref="G24:G31" si="2">IFERROR(B24/(B24+D24),0)</f>
        <v>0.52755905511811019</v>
      </c>
      <c r="H24" s="6">
        <f t="shared" ref="H24:H31" si="3">IFERROR(2*F24*G24/(F24+G24),0)</f>
        <v>0.51538461538461544</v>
      </c>
      <c r="I24" s="5"/>
    </row>
    <row r="25" spans="1:9">
      <c r="A25" s="5" t="s">
        <v>112</v>
      </c>
      <c r="B25" s="5">
        <v>94</v>
      </c>
      <c r="C25" s="5">
        <v>101</v>
      </c>
      <c r="D25" s="5">
        <v>33</v>
      </c>
      <c r="E25" s="5">
        <f t="shared" si="0"/>
        <v>99</v>
      </c>
      <c r="F25" s="6">
        <f t="shared" si="1"/>
        <v>0.48205128205128206</v>
      </c>
      <c r="G25" s="6">
        <f t="shared" si="2"/>
        <v>0.74015748031496065</v>
      </c>
      <c r="H25" s="6">
        <f t="shared" si="3"/>
        <v>0.58385093167701863</v>
      </c>
      <c r="I25" s="5"/>
    </row>
    <row r="26" spans="1:9">
      <c r="A26" s="5" t="s">
        <v>113</v>
      </c>
      <c r="B26" s="5">
        <v>57</v>
      </c>
      <c r="C26" s="5">
        <v>68</v>
      </c>
      <c r="D26" s="5">
        <v>70</v>
      </c>
      <c r="E26" s="5">
        <f t="shared" si="0"/>
        <v>132</v>
      </c>
      <c r="F26" s="6">
        <f t="shared" si="1"/>
        <v>0.45600000000000002</v>
      </c>
      <c r="G26" s="6">
        <f t="shared" si="2"/>
        <v>0.44881889763779526</v>
      </c>
      <c r="H26" s="6">
        <f t="shared" si="3"/>
        <v>0.45238095238095233</v>
      </c>
      <c r="I26" s="5"/>
    </row>
    <row r="27" spans="1:9">
      <c r="A27" s="5" t="s">
        <v>114</v>
      </c>
      <c r="B27" s="5">
        <v>86</v>
      </c>
      <c r="C27" s="5">
        <v>106</v>
      </c>
      <c r="D27" s="5">
        <v>41</v>
      </c>
      <c r="E27" s="5">
        <f t="shared" si="0"/>
        <v>94</v>
      </c>
      <c r="F27" s="6">
        <f t="shared" si="1"/>
        <v>0.44791666666666669</v>
      </c>
      <c r="G27" s="6">
        <f t="shared" si="2"/>
        <v>0.67716535433070868</v>
      </c>
      <c r="H27" s="6">
        <f t="shared" si="3"/>
        <v>0.53918495297805646</v>
      </c>
      <c r="I27" s="5"/>
    </row>
    <row r="28" spans="1:9">
      <c r="A28" s="5" t="s">
        <v>115</v>
      </c>
      <c r="B28" s="5">
        <v>94</v>
      </c>
      <c r="C28" s="5">
        <v>119</v>
      </c>
      <c r="D28" s="5">
        <v>33</v>
      </c>
      <c r="E28" s="5">
        <f t="shared" si="0"/>
        <v>81</v>
      </c>
      <c r="F28" s="6">
        <f t="shared" si="1"/>
        <v>0.44131455399061031</v>
      </c>
      <c r="G28" s="6">
        <f t="shared" si="2"/>
        <v>0.74015748031496065</v>
      </c>
      <c r="H28" s="6">
        <f t="shared" si="3"/>
        <v>0.55294117647058827</v>
      </c>
      <c r="I28" s="5"/>
    </row>
    <row r="29" spans="1:9">
      <c r="A29" s="5" t="s">
        <v>116</v>
      </c>
      <c r="B29" s="5">
        <v>81</v>
      </c>
      <c r="C29" s="5">
        <v>94</v>
      </c>
      <c r="D29" s="5">
        <v>46</v>
      </c>
      <c r="E29" s="5">
        <f t="shared" si="0"/>
        <v>106</v>
      </c>
      <c r="F29" s="6">
        <f t="shared" si="1"/>
        <v>0.46285714285714286</v>
      </c>
      <c r="G29" s="6">
        <f t="shared" si="2"/>
        <v>0.63779527559055116</v>
      </c>
      <c r="H29" s="6">
        <f t="shared" si="3"/>
        <v>0.53642384105960261</v>
      </c>
      <c r="I29" s="5"/>
    </row>
    <row r="30" spans="1:9">
      <c r="A30" s="5" t="s">
        <v>117</v>
      </c>
      <c r="B30" s="5">
        <v>57</v>
      </c>
      <c r="C30" s="5">
        <v>72</v>
      </c>
      <c r="D30" s="5">
        <v>70</v>
      </c>
      <c r="E30" s="5">
        <f t="shared" si="0"/>
        <v>128</v>
      </c>
      <c r="F30" s="6">
        <f t="shared" si="1"/>
        <v>0.44186046511627908</v>
      </c>
      <c r="G30" s="6">
        <f t="shared" si="2"/>
        <v>0.44881889763779526</v>
      </c>
      <c r="H30" s="6">
        <f t="shared" si="3"/>
        <v>0.44531249999999994</v>
      </c>
      <c r="I30" s="5"/>
    </row>
    <row r="31" spans="1:9">
      <c r="A31" s="7" t="s">
        <v>118</v>
      </c>
      <c r="B31" s="7">
        <v>92</v>
      </c>
      <c r="C31" s="7">
        <v>94</v>
      </c>
      <c r="D31" s="7">
        <v>35</v>
      </c>
      <c r="E31" s="7">
        <f t="shared" si="0"/>
        <v>106</v>
      </c>
      <c r="F31" s="8">
        <f t="shared" si="1"/>
        <v>0.4946236559139785</v>
      </c>
      <c r="G31" s="8">
        <f t="shared" si="2"/>
        <v>0.72440944881889768</v>
      </c>
      <c r="H31" s="8">
        <f t="shared" si="3"/>
        <v>0.58785942492012777</v>
      </c>
      <c r="I31" s="5"/>
    </row>
    <row r="32" spans="1:9">
      <c r="A32" s="9" t="s">
        <v>119</v>
      </c>
      <c r="B32" s="10">
        <f>AVERAGE(B24,B25,B26,B27,B28,B29,B30,B31)</f>
        <v>78.5</v>
      </c>
      <c r="C32" s="10">
        <f>AVERAGE(C24,C25,C26,C27,C28,C29,C30,C31)</f>
        <v>90</v>
      </c>
      <c r="D32" s="10">
        <f>AVERAGE(D24,D25,D26,D27,D28,D29,D30,D31)</f>
        <v>48.5</v>
      </c>
      <c r="E32" s="10">
        <f t="shared" si="0"/>
        <v>110</v>
      </c>
      <c r="F32" s="11">
        <f>AVERAGE(F24,F25,F26,F27,F28,F29,F30,F31)</f>
        <v>0.46629789563652496</v>
      </c>
      <c r="G32" s="11">
        <f>AVERAGE(G24,G25,G26,G27,G28,G29,G30,G31)</f>
        <v>0.61811023622047245</v>
      </c>
      <c r="H32" s="11">
        <f>AVERAGE(H24,H25,H26,H27,H28,H29,H30,H31)</f>
        <v>0.52666729935887013</v>
      </c>
      <c r="I32" s="9" t="s">
        <v>120</v>
      </c>
    </row>
    <row r="33" spans="1:9">
      <c r="A33" s="3" t="s">
        <v>121</v>
      </c>
      <c r="B33" s="4"/>
      <c r="C33" s="4"/>
      <c r="D33" s="4"/>
      <c r="E33" s="4"/>
      <c r="F33" s="4"/>
      <c r="G33" s="4"/>
      <c r="H33" s="4"/>
      <c r="I33" s="4"/>
    </row>
    <row r="34" spans="1:9">
      <c r="A34" s="5" t="s">
        <v>122</v>
      </c>
      <c r="B34" s="5">
        <v>71</v>
      </c>
      <c r="C34" s="5">
        <v>106</v>
      </c>
      <c r="D34" s="5">
        <v>56</v>
      </c>
      <c r="E34" s="5">
        <f t="shared" ref="E34:E42" si="4">327-B34-C34-D34</f>
        <v>94</v>
      </c>
      <c r="F34" s="6">
        <f t="shared" ref="F34:F41" si="5">IFERROR(B34/(B34+C34),0)</f>
        <v>0.40112994350282488</v>
      </c>
      <c r="G34" s="6">
        <f t="shared" ref="G34:G41" si="6">IFERROR(B34/(B34+D34),0)</f>
        <v>0.55905511811023623</v>
      </c>
      <c r="H34" s="6">
        <f t="shared" ref="H34:H41" si="7">IFERROR(2*F34*G34/(F34+G34),0)</f>
        <v>0.46710526315789475</v>
      </c>
      <c r="I34" s="5"/>
    </row>
    <row r="35" spans="1:9">
      <c r="A35" s="7" t="s">
        <v>123</v>
      </c>
      <c r="B35" s="7">
        <v>98</v>
      </c>
      <c r="C35" s="7">
        <v>141</v>
      </c>
      <c r="D35" s="7">
        <v>29</v>
      </c>
      <c r="E35" s="7">
        <f t="shared" si="4"/>
        <v>59</v>
      </c>
      <c r="F35" s="8">
        <f t="shared" si="5"/>
        <v>0.41004184100418412</v>
      </c>
      <c r="G35" s="8">
        <f t="shared" si="6"/>
        <v>0.77165354330708658</v>
      </c>
      <c r="H35" s="8">
        <f t="shared" si="7"/>
        <v>0.53551912568306015</v>
      </c>
      <c r="I35" s="5"/>
    </row>
    <row r="36" spans="1:9">
      <c r="A36" s="5" t="s">
        <v>124</v>
      </c>
      <c r="B36" s="5">
        <v>75</v>
      </c>
      <c r="C36" s="5">
        <v>108</v>
      </c>
      <c r="D36" s="5">
        <v>52</v>
      </c>
      <c r="E36" s="5">
        <f t="shared" si="4"/>
        <v>92</v>
      </c>
      <c r="F36" s="6">
        <f t="shared" si="5"/>
        <v>0.4098360655737705</v>
      </c>
      <c r="G36" s="6">
        <f t="shared" si="6"/>
        <v>0.59055118110236215</v>
      </c>
      <c r="H36" s="6">
        <f t="shared" si="7"/>
        <v>0.48387096774193544</v>
      </c>
      <c r="I36" s="5"/>
    </row>
    <row r="37" spans="1:9">
      <c r="A37" s="5" t="s">
        <v>125</v>
      </c>
      <c r="B37" s="5">
        <v>75</v>
      </c>
      <c r="C37" s="5">
        <v>100</v>
      </c>
      <c r="D37" s="5">
        <v>52</v>
      </c>
      <c r="E37" s="5">
        <f t="shared" si="4"/>
        <v>100</v>
      </c>
      <c r="F37" s="6">
        <f t="shared" si="5"/>
        <v>0.42857142857142855</v>
      </c>
      <c r="G37" s="6">
        <f t="shared" si="6"/>
        <v>0.59055118110236215</v>
      </c>
      <c r="H37" s="6">
        <f t="shared" si="7"/>
        <v>0.49668874172185429</v>
      </c>
      <c r="I37" s="5"/>
    </row>
    <row r="38" spans="1:9">
      <c r="A38" s="5" t="s">
        <v>126</v>
      </c>
      <c r="B38" s="5">
        <v>88</v>
      </c>
      <c r="C38" s="5">
        <v>130</v>
      </c>
      <c r="D38" s="5">
        <v>39</v>
      </c>
      <c r="E38" s="5">
        <f t="shared" si="4"/>
        <v>70</v>
      </c>
      <c r="F38" s="6">
        <f t="shared" si="5"/>
        <v>0.40366972477064222</v>
      </c>
      <c r="G38" s="6">
        <f t="shared" si="6"/>
        <v>0.69291338582677164</v>
      </c>
      <c r="H38" s="6">
        <f t="shared" si="7"/>
        <v>0.51014492753623197</v>
      </c>
      <c r="I38" s="5"/>
    </row>
    <row r="39" spans="1:9">
      <c r="A39" s="5" t="s">
        <v>127</v>
      </c>
      <c r="B39" s="5">
        <v>75</v>
      </c>
      <c r="C39" s="5">
        <v>99</v>
      </c>
      <c r="D39" s="5">
        <v>52</v>
      </c>
      <c r="E39" s="5">
        <f t="shared" si="4"/>
        <v>101</v>
      </c>
      <c r="F39" s="6">
        <f t="shared" si="5"/>
        <v>0.43103448275862066</v>
      </c>
      <c r="G39" s="6">
        <f t="shared" si="6"/>
        <v>0.59055118110236215</v>
      </c>
      <c r="H39" s="6">
        <f t="shared" si="7"/>
        <v>0.49833887043189362</v>
      </c>
      <c r="I39" s="5"/>
    </row>
    <row r="40" spans="1:9">
      <c r="A40" s="5" t="s">
        <v>128</v>
      </c>
      <c r="B40" s="5">
        <v>56</v>
      </c>
      <c r="C40" s="5">
        <v>64</v>
      </c>
      <c r="D40" s="5">
        <v>71</v>
      </c>
      <c r="E40" s="5">
        <f t="shared" si="4"/>
        <v>136</v>
      </c>
      <c r="F40" s="6">
        <f t="shared" si="5"/>
        <v>0.46666666666666667</v>
      </c>
      <c r="G40" s="6">
        <f t="shared" si="6"/>
        <v>0.44094488188976377</v>
      </c>
      <c r="H40" s="6">
        <f t="shared" si="7"/>
        <v>0.45344129554655871</v>
      </c>
      <c r="I40" s="5"/>
    </row>
    <row r="41" spans="1:9">
      <c r="A41" s="5" t="s">
        <v>129</v>
      </c>
      <c r="B41" s="5">
        <v>62</v>
      </c>
      <c r="C41" s="5">
        <v>78</v>
      </c>
      <c r="D41" s="5">
        <v>65</v>
      </c>
      <c r="E41" s="5">
        <f t="shared" si="4"/>
        <v>122</v>
      </c>
      <c r="F41" s="6">
        <f t="shared" si="5"/>
        <v>0.44285714285714284</v>
      </c>
      <c r="G41" s="6">
        <f t="shared" si="6"/>
        <v>0.48818897637795278</v>
      </c>
      <c r="H41" s="6">
        <f t="shared" si="7"/>
        <v>0.46441947565543074</v>
      </c>
      <c r="I41" s="5"/>
    </row>
    <row r="42" spans="1:9">
      <c r="A42" s="9" t="s">
        <v>130</v>
      </c>
      <c r="B42" s="10">
        <f>AVERAGE(B34,B35,B36,B37,B38,B39,B40,B41)</f>
        <v>75</v>
      </c>
      <c r="C42" s="10">
        <f>AVERAGE(C34,C35,C36,C37,C38,C39,C40,C41)</f>
        <v>103.25</v>
      </c>
      <c r="D42" s="10">
        <f>AVERAGE(D34,D35,D36,D37,D38,D39,D40,D41)</f>
        <v>52</v>
      </c>
      <c r="E42" s="10">
        <f t="shared" si="4"/>
        <v>96.75</v>
      </c>
      <c r="F42" s="11">
        <f>AVERAGE(F34,F35,F36,F37,F38,F39,F40,F41)</f>
        <v>0.42422591196316006</v>
      </c>
      <c r="G42" s="11">
        <f>AVERAGE(G34,G35,G36,G37,G38,G39,G40,G41)</f>
        <v>0.59055118110236215</v>
      </c>
      <c r="H42" s="11">
        <f>AVERAGE(H34,H35,H36,H37,H38,H39,H40,H41)</f>
        <v>0.48869108343435741</v>
      </c>
      <c r="I42" s="9" t="s">
        <v>131</v>
      </c>
    </row>
    <row r="43" spans="1:9">
      <c r="A43" s="3" t="s">
        <v>132</v>
      </c>
      <c r="B43" s="4"/>
      <c r="C43" s="4"/>
      <c r="D43" s="4"/>
      <c r="E43" s="4"/>
      <c r="F43" s="4"/>
      <c r="G43" s="4"/>
      <c r="H43" s="4"/>
      <c r="I43" s="4"/>
    </row>
    <row r="44" spans="1:9">
      <c r="A44" s="5" t="s">
        <v>133</v>
      </c>
      <c r="B44" s="5">
        <v>58</v>
      </c>
      <c r="C44" s="5">
        <v>80</v>
      </c>
      <c r="D44" s="5">
        <v>69</v>
      </c>
      <c r="E44" s="5">
        <f t="shared" ref="E44:E52" si="8">327-B44-C44-D44</f>
        <v>120</v>
      </c>
      <c r="F44" s="6">
        <f t="shared" ref="F44:F51" si="9">IFERROR(B44/(B44+C44),0)</f>
        <v>0.42028985507246375</v>
      </c>
      <c r="G44" s="6">
        <f t="shared" ref="G44:G51" si="10">IFERROR(B44/(B44+D44),0)</f>
        <v>0.45669291338582679</v>
      </c>
      <c r="H44" s="6">
        <f t="shared" ref="H44:H51" si="11">IFERROR(2*F44*G44/(F44+G44),0)</f>
        <v>0.43773584905660379</v>
      </c>
      <c r="I44" s="5"/>
    </row>
    <row r="45" spans="1:9">
      <c r="A45" s="5" t="s">
        <v>134</v>
      </c>
      <c r="B45" s="5">
        <v>68</v>
      </c>
      <c r="C45" s="5">
        <v>94</v>
      </c>
      <c r="D45" s="5">
        <v>59</v>
      </c>
      <c r="E45" s="5">
        <f t="shared" si="8"/>
        <v>106</v>
      </c>
      <c r="F45" s="6">
        <f t="shared" si="9"/>
        <v>0.41975308641975306</v>
      </c>
      <c r="G45" s="6">
        <f t="shared" si="10"/>
        <v>0.53543307086614178</v>
      </c>
      <c r="H45" s="6">
        <f t="shared" si="11"/>
        <v>0.4705882352941177</v>
      </c>
      <c r="I45" s="5"/>
    </row>
    <row r="46" spans="1:9">
      <c r="A46" s="5" t="s">
        <v>135</v>
      </c>
      <c r="B46" s="5">
        <v>48</v>
      </c>
      <c r="C46" s="5">
        <v>59</v>
      </c>
      <c r="D46" s="5">
        <v>79</v>
      </c>
      <c r="E46" s="5">
        <f t="shared" si="8"/>
        <v>141</v>
      </c>
      <c r="F46" s="6">
        <f t="shared" si="9"/>
        <v>0.44859813084112149</v>
      </c>
      <c r="G46" s="6">
        <f t="shared" si="10"/>
        <v>0.37795275590551181</v>
      </c>
      <c r="H46" s="6">
        <f t="shared" si="11"/>
        <v>0.41025641025641019</v>
      </c>
      <c r="I46" s="5"/>
    </row>
    <row r="47" spans="1:9">
      <c r="A47" s="7" t="s">
        <v>136</v>
      </c>
      <c r="B47" s="7">
        <v>89</v>
      </c>
      <c r="C47" s="7">
        <v>109</v>
      </c>
      <c r="D47" s="7">
        <v>38</v>
      </c>
      <c r="E47" s="7">
        <f t="shared" si="8"/>
        <v>91</v>
      </c>
      <c r="F47" s="8">
        <f t="shared" si="9"/>
        <v>0.4494949494949495</v>
      </c>
      <c r="G47" s="8">
        <f t="shared" si="10"/>
        <v>0.70078740157480313</v>
      </c>
      <c r="H47" s="8">
        <f t="shared" si="11"/>
        <v>0.5476923076923077</v>
      </c>
      <c r="I47" s="5"/>
    </row>
    <row r="48" spans="1:9">
      <c r="A48" s="5" t="s">
        <v>137</v>
      </c>
      <c r="B48" s="5">
        <v>81</v>
      </c>
      <c r="C48" s="5">
        <v>97</v>
      </c>
      <c r="D48" s="5">
        <v>46</v>
      </c>
      <c r="E48" s="5">
        <f t="shared" si="8"/>
        <v>103</v>
      </c>
      <c r="F48" s="6">
        <f t="shared" si="9"/>
        <v>0.4550561797752809</v>
      </c>
      <c r="G48" s="6">
        <f t="shared" si="10"/>
        <v>0.63779527559055116</v>
      </c>
      <c r="H48" s="6">
        <f t="shared" si="11"/>
        <v>0.5311475409836065</v>
      </c>
      <c r="I48" s="5"/>
    </row>
    <row r="49" spans="1:9">
      <c r="A49" s="5" t="s">
        <v>138</v>
      </c>
      <c r="B49" s="5">
        <v>86</v>
      </c>
      <c r="C49" s="5">
        <v>119</v>
      </c>
      <c r="D49" s="5">
        <v>41</v>
      </c>
      <c r="E49" s="5">
        <f t="shared" si="8"/>
        <v>81</v>
      </c>
      <c r="F49" s="6">
        <f t="shared" si="9"/>
        <v>0.4195121951219512</v>
      </c>
      <c r="G49" s="6">
        <f t="shared" si="10"/>
        <v>0.67716535433070868</v>
      </c>
      <c r="H49" s="6">
        <f t="shared" si="11"/>
        <v>0.51807228915662651</v>
      </c>
      <c r="I49" s="5"/>
    </row>
    <row r="50" spans="1:9">
      <c r="A50" s="5" t="s">
        <v>139</v>
      </c>
      <c r="B50" s="5">
        <v>58</v>
      </c>
      <c r="C50" s="5">
        <v>73</v>
      </c>
      <c r="D50" s="5">
        <v>69</v>
      </c>
      <c r="E50" s="5">
        <f t="shared" si="8"/>
        <v>127</v>
      </c>
      <c r="F50" s="6">
        <f t="shared" si="9"/>
        <v>0.44274809160305345</v>
      </c>
      <c r="G50" s="6">
        <f t="shared" si="10"/>
        <v>0.45669291338582679</v>
      </c>
      <c r="H50" s="6">
        <f t="shared" si="11"/>
        <v>0.44961240310077522</v>
      </c>
      <c r="I50" s="5"/>
    </row>
    <row r="51" spans="1:9">
      <c r="A51" s="5" t="s">
        <v>140</v>
      </c>
      <c r="B51" s="5">
        <v>69</v>
      </c>
      <c r="C51" s="5">
        <v>83</v>
      </c>
      <c r="D51" s="5">
        <v>58</v>
      </c>
      <c r="E51" s="5">
        <f t="shared" si="8"/>
        <v>117</v>
      </c>
      <c r="F51" s="6">
        <f t="shared" si="9"/>
        <v>0.45394736842105265</v>
      </c>
      <c r="G51" s="6">
        <f t="shared" si="10"/>
        <v>0.54330708661417326</v>
      </c>
      <c r="H51" s="6">
        <f t="shared" si="11"/>
        <v>0.49462365591397855</v>
      </c>
      <c r="I51" s="5"/>
    </row>
    <row r="52" spans="1:9">
      <c r="A52" s="9" t="s">
        <v>141</v>
      </c>
      <c r="B52" s="10">
        <f>AVERAGE(B44,B45,B46,B47,B48,B49,B50,B51)</f>
        <v>69.625</v>
      </c>
      <c r="C52" s="10">
        <f>AVERAGE(C44,C45,C46,C47,C48,C49,C50,C51)</f>
        <v>89.25</v>
      </c>
      <c r="D52" s="10">
        <f>AVERAGE(D44,D45,D46,D47,D48,D49,D50,D51)</f>
        <v>57.375</v>
      </c>
      <c r="E52" s="10">
        <f t="shared" si="8"/>
        <v>110.75</v>
      </c>
      <c r="F52" s="11">
        <f>AVERAGE(F44,F45,F46,F47,F48,F49,F50,F51)</f>
        <v>0.43867498209370326</v>
      </c>
      <c r="G52" s="11">
        <f>AVERAGE(G44,G45,G46,G47,G48,G49,G50,G51)</f>
        <v>0.54822834645669294</v>
      </c>
      <c r="H52" s="11">
        <f>AVERAGE(H44,H45,H46,H47,H48,H49,H50,H51)</f>
        <v>0.48246608643180328</v>
      </c>
      <c r="I52" s="9" t="s">
        <v>142</v>
      </c>
    </row>
    <row r="53" spans="1:9">
      <c r="A53" s="3" t="s">
        <v>63</v>
      </c>
      <c r="B53" s="4"/>
      <c r="C53" s="4"/>
      <c r="D53" s="4"/>
      <c r="E53" s="4"/>
      <c r="F53" s="4"/>
      <c r="G53" s="4"/>
      <c r="H53" s="4"/>
      <c r="I53" s="4"/>
    </row>
    <row r="54" spans="1:9">
      <c r="A54" s="7" t="s">
        <v>64</v>
      </c>
      <c r="B54" s="7">
        <v>56</v>
      </c>
      <c r="C54" s="7">
        <v>66</v>
      </c>
      <c r="D54" s="7">
        <v>71</v>
      </c>
      <c r="E54" s="7">
        <f t="shared" ref="E54:E63" si="12">327-B54-C54-D54</f>
        <v>134</v>
      </c>
      <c r="F54" s="8">
        <f t="shared" ref="F54:F62" si="13">IFERROR(B54/(B54+C54),0)</f>
        <v>0.45901639344262296</v>
      </c>
      <c r="G54" s="8">
        <f t="shared" ref="G54:G62" si="14">IFERROR(B54/(B54+D54),0)</f>
        <v>0.44094488188976377</v>
      </c>
      <c r="H54" s="8">
        <f t="shared" ref="H54:H62" si="15">IFERROR(2*F54*G54/(F54+G54),0)</f>
        <v>0.44979919678714864</v>
      </c>
      <c r="I54" s="5" t="s">
        <v>143</v>
      </c>
    </row>
    <row r="55" spans="1:9">
      <c r="A55" s="5" t="s">
        <v>144</v>
      </c>
      <c r="B55" s="5">
        <v>69</v>
      </c>
      <c r="C55" s="5">
        <v>82</v>
      </c>
      <c r="D55" s="5">
        <v>58</v>
      </c>
      <c r="E55" s="5">
        <f t="shared" si="12"/>
        <v>118</v>
      </c>
      <c r="F55" s="6">
        <f t="shared" si="13"/>
        <v>0.45695364238410596</v>
      </c>
      <c r="G55" s="6">
        <f t="shared" si="14"/>
        <v>0.54330708661417326</v>
      </c>
      <c r="H55" s="6">
        <f t="shared" si="15"/>
        <v>0.49640287769784175</v>
      </c>
      <c r="I55" s="5"/>
    </row>
    <row r="56" spans="1:9">
      <c r="A56" s="5" t="s">
        <v>145</v>
      </c>
      <c r="B56" s="5">
        <v>93</v>
      </c>
      <c r="C56" s="5">
        <v>114</v>
      </c>
      <c r="D56" s="5">
        <v>34</v>
      </c>
      <c r="E56" s="5">
        <f t="shared" si="12"/>
        <v>86</v>
      </c>
      <c r="F56" s="6">
        <f t="shared" si="13"/>
        <v>0.44927536231884058</v>
      </c>
      <c r="G56" s="6">
        <f t="shared" si="14"/>
        <v>0.73228346456692917</v>
      </c>
      <c r="H56" s="6">
        <f t="shared" si="15"/>
        <v>0.55688622754491013</v>
      </c>
      <c r="I56" s="5"/>
    </row>
    <row r="57" spans="1:9">
      <c r="A57" s="5" t="s">
        <v>146</v>
      </c>
      <c r="B57" s="5">
        <v>63</v>
      </c>
      <c r="C57" s="5">
        <v>70</v>
      </c>
      <c r="D57" s="5">
        <v>64</v>
      </c>
      <c r="E57" s="5">
        <f t="shared" si="12"/>
        <v>130</v>
      </c>
      <c r="F57" s="6">
        <f t="shared" si="13"/>
        <v>0.47368421052631576</v>
      </c>
      <c r="G57" s="6">
        <f t="shared" si="14"/>
        <v>0.49606299212598426</v>
      </c>
      <c r="H57" s="6">
        <f t="shared" si="15"/>
        <v>0.48461538461538461</v>
      </c>
      <c r="I57" s="5"/>
    </row>
    <row r="58" spans="1:9">
      <c r="A58" s="5" t="s">
        <v>147</v>
      </c>
      <c r="B58" s="5">
        <v>89</v>
      </c>
      <c r="C58" s="5">
        <v>108</v>
      </c>
      <c r="D58" s="5">
        <v>38</v>
      </c>
      <c r="E58" s="5">
        <f t="shared" si="12"/>
        <v>92</v>
      </c>
      <c r="F58" s="6">
        <f t="shared" si="13"/>
        <v>0.45177664974619292</v>
      </c>
      <c r="G58" s="6">
        <f t="shared" si="14"/>
        <v>0.70078740157480313</v>
      </c>
      <c r="H58" s="6">
        <f t="shared" si="15"/>
        <v>0.54938271604938282</v>
      </c>
      <c r="I58" s="5"/>
    </row>
    <row r="59" spans="1:9">
      <c r="A59" s="7" t="s">
        <v>148</v>
      </c>
      <c r="B59" s="7">
        <v>96</v>
      </c>
      <c r="C59" s="7">
        <v>118</v>
      </c>
      <c r="D59" s="7">
        <v>31</v>
      </c>
      <c r="E59" s="7">
        <f t="shared" si="12"/>
        <v>82</v>
      </c>
      <c r="F59" s="8">
        <f t="shared" si="13"/>
        <v>0.44859813084112149</v>
      </c>
      <c r="G59" s="8">
        <f t="shared" si="14"/>
        <v>0.75590551181102361</v>
      </c>
      <c r="H59" s="8">
        <f t="shared" si="15"/>
        <v>0.56304985337243396</v>
      </c>
      <c r="I59" s="5"/>
    </row>
    <row r="60" spans="1:9">
      <c r="A60" s="5" t="s">
        <v>149</v>
      </c>
      <c r="B60" s="5">
        <v>88</v>
      </c>
      <c r="C60" s="5">
        <v>104</v>
      </c>
      <c r="D60" s="5">
        <v>39</v>
      </c>
      <c r="E60" s="5">
        <f t="shared" si="12"/>
        <v>96</v>
      </c>
      <c r="F60" s="6">
        <f t="shared" si="13"/>
        <v>0.45833333333333331</v>
      </c>
      <c r="G60" s="6">
        <f t="shared" si="14"/>
        <v>0.69291338582677164</v>
      </c>
      <c r="H60" s="6">
        <f t="shared" si="15"/>
        <v>0.55172413793103448</v>
      </c>
      <c r="I60" s="5"/>
    </row>
    <row r="61" spans="1:9">
      <c r="A61" s="5" t="s">
        <v>150</v>
      </c>
      <c r="B61" s="5">
        <v>60</v>
      </c>
      <c r="C61" s="5">
        <v>60</v>
      </c>
      <c r="D61" s="5">
        <v>67</v>
      </c>
      <c r="E61" s="5">
        <f t="shared" si="12"/>
        <v>140</v>
      </c>
      <c r="F61" s="6">
        <f t="shared" si="13"/>
        <v>0.5</v>
      </c>
      <c r="G61" s="6">
        <f t="shared" si="14"/>
        <v>0.47244094488188976</v>
      </c>
      <c r="H61" s="6">
        <f t="shared" si="15"/>
        <v>0.48582995951417002</v>
      </c>
      <c r="I61" s="5"/>
    </row>
    <row r="62" spans="1:9">
      <c r="A62" s="5" t="s">
        <v>151</v>
      </c>
      <c r="B62" s="5">
        <v>81</v>
      </c>
      <c r="C62" s="5">
        <v>83</v>
      </c>
      <c r="D62" s="5">
        <v>46</v>
      </c>
      <c r="E62" s="5">
        <f t="shared" si="12"/>
        <v>117</v>
      </c>
      <c r="F62" s="6">
        <f t="shared" si="13"/>
        <v>0.49390243902439024</v>
      </c>
      <c r="G62" s="6">
        <f t="shared" si="14"/>
        <v>0.63779527559055116</v>
      </c>
      <c r="H62" s="6">
        <f t="shared" si="15"/>
        <v>0.55670103092783507</v>
      </c>
      <c r="I62" s="5"/>
    </row>
    <row r="63" spans="1:9">
      <c r="A63" s="9" t="s">
        <v>152</v>
      </c>
      <c r="B63" s="10">
        <f>AVERAGE(B55,B56,B57,B58,B59,B60,B61,B62)</f>
        <v>79.875</v>
      </c>
      <c r="C63" s="10">
        <f>AVERAGE(C55,C56,C57,C58,C59,C60,C61,C62)</f>
        <v>92.375</v>
      </c>
      <c r="D63" s="10">
        <f>AVERAGE(D55,D56,D57,D58,D59,D60,D61,D62)</f>
        <v>47.125</v>
      </c>
      <c r="E63" s="10">
        <f t="shared" si="12"/>
        <v>107.625</v>
      </c>
      <c r="F63" s="11">
        <f>AVERAGE(F55,F56,F57,F58,F59,F60,F61,F62)</f>
        <v>0.46656547102178758</v>
      </c>
      <c r="G63" s="11">
        <f>AVERAGE(G55,G56,G57,G58,G59,G60,G61,G62)</f>
        <v>0.62893700787401574</v>
      </c>
      <c r="H63" s="11">
        <f>AVERAGE(H55,H56,H57,H58,H59,H60,H61,H62)</f>
        <v>0.53057402345662408</v>
      </c>
      <c r="I63" s="9" t="s">
        <v>71</v>
      </c>
    </row>
    <row r="64" spans="1:9">
      <c r="A64" s="3" t="s">
        <v>153</v>
      </c>
      <c r="B64" s="4"/>
      <c r="C64" s="4"/>
      <c r="D64" s="4"/>
      <c r="E64" s="4"/>
      <c r="F64" s="4"/>
      <c r="G64" s="4"/>
      <c r="H64" s="4"/>
      <c r="I64" s="4"/>
    </row>
    <row r="65" spans="1:9">
      <c r="A65" s="5" t="s">
        <v>154</v>
      </c>
      <c r="B65" s="5">
        <v>82</v>
      </c>
      <c r="C65" s="5">
        <v>96</v>
      </c>
      <c r="D65" s="5">
        <v>45</v>
      </c>
      <c r="E65" s="5">
        <f t="shared" ref="E65:E82" si="16">327-B65-C65-D65</f>
        <v>104</v>
      </c>
      <c r="F65" s="6">
        <f t="shared" ref="F65:F72" si="17">IFERROR(B65/(B65+C65),0)</f>
        <v>0.4606741573033708</v>
      </c>
      <c r="G65" s="6">
        <f t="shared" ref="G65:G72" si="18">IFERROR(B65/(B65+D65),0)</f>
        <v>0.64566929133858264</v>
      </c>
      <c r="H65" s="6">
        <f t="shared" ref="H65:H72" si="19">IFERROR(2*F65*G65/(F65+G65),0)</f>
        <v>0.53770491803278686</v>
      </c>
      <c r="I65" s="5" t="s">
        <v>155</v>
      </c>
    </row>
    <row r="66" spans="1:9">
      <c r="A66" s="7" t="s">
        <v>156</v>
      </c>
      <c r="B66" s="7">
        <v>99</v>
      </c>
      <c r="C66" s="7">
        <v>126</v>
      </c>
      <c r="D66" s="7">
        <v>28</v>
      </c>
      <c r="E66" s="7">
        <f t="shared" si="16"/>
        <v>74</v>
      </c>
      <c r="F66" s="8">
        <f t="shared" si="17"/>
        <v>0.44</v>
      </c>
      <c r="G66" s="8">
        <f t="shared" si="18"/>
        <v>0.77952755905511806</v>
      </c>
      <c r="H66" s="8">
        <f t="shared" si="19"/>
        <v>0.5625</v>
      </c>
      <c r="I66" s="5"/>
    </row>
    <row r="67" spans="1:9">
      <c r="A67" s="5" t="s">
        <v>157</v>
      </c>
      <c r="B67" s="5">
        <v>82</v>
      </c>
      <c r="C67" s="5">
        <v>100</v>
      </c>
      <c r="D67" s="5">
        <v>45</v>
      </c>
      <c r="E67" s="5">
        <f t="shared" si="16"/>
        <v>100</v>
      </c>
      <c r="F67" s="6">
        <f t="shared" si="17"/>
        <v>0.45054945054945056</v>
      </c>
      <c r="G67" s="6">
        <f t="shared" si="18"/>
        <v>0.64566929133858264</v>
      </c>
      <c r="H67" s="6">
        <f t="shared" si="19"/>
        <v>0.53074433656957931</v>
      </c>
      <c r="I67" s="5"/>
    </row>
    <row r="68" spans="1:9">
      <c r="A68" s="5" t="s">
        <v>158</v>
      </c>
      <c r="B68" s="5">
        <v>90</v>
      </c>
      <c r="C68" s="5">
        <v>107</v>
      </c>
      <c r="D68" s="5">
        <v>37</v>
      </c>
      <c r="E68" s="5">
        <f t="shared" si="16"/>
        <v>93</v>
      </c>
      <c r="F68" s="6">
        <f t="shared" si="17"/>
        <v>0.45685279187817257</v>
      </c>
      <c r="G68" s="6">
        <f t="shared" si="18"/>
        <v>0.70866141732283461</v>
      </c>
      <c r="H68" s="6">
        <f t="shared" si="19"/>
        <v>0.55555555555555558</v>
      </c>
      <c r="I68" s="5"/>
    </row>
    <row r="69" spans="1:9">
      <c r="A69" s="5" t="s">
        <v>159</v>
      </c>
      <c r="B69" s="5">
        <v>97</v>
      </c>
      <c r="C69" s="5">
        <v>129</v>
      </c>
      <c r="D69" s="5">
        <v>30</v>
      </c>
      <c r="E69" s="5">
        <f t="shared" si="16"/>
        <v>71</v>
      </c>
      <c r="F69" s="6">
        <f t="shared" si="17"/>
        <v>0.42920353982300885</v>
      </c>
      <c r="G69" s="6">
        <f t="shared" si="18"/>
        <v>0.76377952755905509</v>
      </c>
      <c r="H69" s="6">
        <f t="shared" si="19"/>
        <v>0.54957507082152979</v>
      </c>
      <c r="I69" s="5"/>
    </row>
    <row r="70" spans="1:9">
      <c r="A70" s="5" t="s">
        <v>160</v>
      </c>
      <c r="B70" s="5">
        <v>83</v>
      </c>
      <c r="C70" s="5">
        <v>107</v>
      </c>
      <c r="D70" s="5">
        <v>44</v>
      </c>
      <c r="E70" s="5">
        <f t="shared" si="16"/>
        <v>93</v>
      </c>
      <c r="F70" s="6">
        <f t="shared" si="17"/>
        <v>0.43684210526315792</v>
      </c>
      <c r="G70" s="6">
        <f t="shared" si="18"/>
        <v>0.65354330708661412</v>
      </c>
      <c r="H70" s="6">
        <f t="shared" si="19"/>
        <v>0.52365930599369082</v>
      </c>
      <c r="I70" s="5"/>
    </row>
    <row r="71" spans="1:9">
      <c r="A71" s="5" t="s">
        <v>161</v>
      </c>
      <c r="B71" s="5">
        <v>70</v>
      </c>
      <c r="C71" s="5">
        <v>86</v>
      </c>
      <c r="D71" s="5">
        <v>57</v>
      </c>
      <c r="E71" s="5">
        <f t="shared" si="16"/>
        <v>114</v>
      </c>
      <c r="F71" s="6">
        <f t="shared" si="17"/>
        <v>0.44871794871794873</v>
      </c>
      <c r="G71" s="6">
        <f t="shared" si="18"/>
        <v>0.55118110236220474</v>
      </c>
      <c r="H71" s="6">
        <f t="shared" si="19"/>
        <v>0.4946996466431095</v>
      </c>
      <c r="I71" s="5"/>
    </row>
    <row r="72" spans="1:9">
      <c r="A72" s="5" t="s">
        <v>162</v>
      </c>
      <c r="B72" s="5">
        <v>86</v>
      </c>
      <c r="C72" s="5">
        <v>96</v>
      </c>
      <c r="D72" s="5">
        <v>41</v>
      </c>
      <c r="E72" s="5">
        <f t="shared" si="16"/>
        <v>104</v>
      </c>
      <c r="F72" s="6">
        <f t="shared" si="17"/>
        <v>0.47252747252747251</v>
      </c>
      <c r="G72" s="6">
        <f t="shared" si="18"/>
        <v>0.67716535433070868</v>
      </c>
      <c r="H72" s="6">
        <f t="shared" si="19"/>
        <v>0.55663430420711968</v>
      </c>
      <c r="I72" s="5"/>
    </row>
    <row r="73" spans="1:9">
      <c r="A73" s="9" t="s">
        <v>163</v>
      </c>
      <c r="B73" s="10">
        <f>AVERAGE(B65,B66,B67,B68,B69,B70,B71,B72)</f>
        <v>86.125</v>
      </c>
      <c r="C73" s="10">
        <f>AVERAGE(C65,C66,C67,C68,C69,C70,C71,C72)</f>
        <v>105.875</v>
      </c>
      <c r="D73" s="10">
        <f>AVERAGE(D65,D66,D67,D68,D69,D70,D71,D72)</f>
        <v>40.875</v>
      </c>
      <c r="E73" s="10">
        <f t="shared" si="16"/>
        <v>94.125</v>
      </c>
      <c r="F73" s="11">
        <f>AVERAGE(F65,F66,F67,F68,F69,F70,F71,F72)</f>
        <v>0.44942093325782273</v>
      </c>
      <c r="G73" s="11">
        <f>AVERAGE(G65,G66,G67,G68,G69,G70,G71,G72)</f>
        <v>0.6781496062992125</v>
      </c>
      <c r="H73" s="11">
        <f>AVERAGE(H65,H66,H67,H68,H69,H70,H71,H72)</f>
        <v>0.53888414222792136</v>
      </c>
      <c r="I73" s="9"/>
    </row>
    <row r="74" spans="1:9">
      <c r="A74" s="5" t="s">
        <v>164</v>
      </c>
      <c r="B74" s="5">
        <v>99</v>
      </c>
      <c r="C74" s="5">
        <v>149</v>
      </c>
      <c r="D74" s="5">
        <v>28</v>
      </c>
      <c r="E74" s="5">
        <f t="shared" si="16"/>
        <v>51</v>
      </c>
      <c r="F74" s="6">
        <f t="shared" ref="F74:F81" si="20">IFERROR(B74/(B74+C74),0)</f>
        <v>0.39919354838709675</v>
      </c>
      <c r="G74" s="6">
        <f t="shared" ref="G74:G81" si="21">IFERROR(B74/(B74+D74),0)</f>
        <v>0.77952755905511806</v>
      </c>
      <c r="H74" s="6">
        <f t="shared" ref="H74:H81" si="22">IFERROR(2*F74*G74/(F74+G74),0)</f>
        <v>0.52800000000000002</v>
      </c>
      <c r="I74" s="5" t="s">
        <v>155</v>
      </c>
    </row>
    <row r="75" spans="1:9">
      <c r="A75" s="5" t="s">
        <v>165</v>
      </c>
      <c r="B75" s="5">
        <v>110</v>
      </c>
      <c r="C75" s="5">
        <v>159</v>
      </c>
      <c r="D75" s="5">
        <v>17</v>
      </c>
      <c r="E75" s="5">
        <f t="shared" si="16"/>
        <v>41</v>
      </c>
      <c r="F75" s="6">
        <f t="shared" si="20"/>
        <v>0.40892193308550184</v>
      </c>
      <c r="G75" s="6">
        <f t="shared" si="21"/>
        <v>0.86614173228346458</v>
      </c>
      <c r="H75" s="6">
        <f t="shared" si="22"/>
        <v>0.55555555555555558</v>
      </c>
      <c r="I75" s="5"/>
    </row>
    <row r="76" spans="1:9">
      <c r="A76" s="5" t="s">
        <v>166</v>
      </c>
      <c r="B76" s="5">
        <v>102</v>
      </c>
      <c r="C76" s="5">
        <v>150</v>
      </c>
      <c r="D76" s="5">
        <v>25</v>
      </c>
      <c r="E76" s="5">
        <f t="shared" si="16"/>
        <v>50</v>
      </c>
      <c r="F76" s="6">
        <f t="shared" si="20"/>
        <v>0.40476190476190477</v>
      </c>
      <c r="G76" s="6">
        <f t="shared" si="21"/>
        <v>0.80314960629921262</v>
      </c>
      <c r="H76" s="6">
        <f t="shared" si="22"/>
        <v>0.53825857519788922</v>
      </c>
      <c r="I76" s="5"/>
    </row>
    <row r="77" spans="1:9">
      <c r="A77" s="7" t="s">
        <v>167</v>
      </c>
      <c r="B77" s="7">
        <v>109</v>
      </c>
      <c r="C77" s="7">
        <v>153</v>
      </c>
      <c r="D77" s="7">
        <v>18</v>
      </c>
      <c r="E77" s="7">
        <f t="shared" si="16"/>
        <v>47</v>
      </c>
      <c r="F77" s="8">
        <f t="shared" si="20"/>
        <v>0.41603053435114506</v>
      </c>
      <c r="G77" s="8">
        <f t="shared" si="21"/>
        <v>0.8582677165354331</v>
      </c>
      <c r="H77" s="8">
        <f t="shared" si="22"/>
        <v>0.56041131105398467</v>
      </c>
      <c r="I77" s="5"/>
    </row>
    <row r="78" spans="1:9">
      <c r="A78" s="5" t="s">
        <v>168</v>
      </c>
      <c r="B78" s="5">
        <v>109</v>
      </c>
      <c r="C78" s="5">
        <v>159</v>
      </c>
      <c r="D78" s="5">
        <v>18</v>
      </c>
      <c r="E78" s="5">
        <f t="shared" si="16"/>
        <v>41</v>
      </c>
      <c r="F78" s="6">
        <f t="shared" si="20"/>
        <v>0.40671641791044777</v>
      </c>
      <c r="G78" s="6">
        <f t="shared" si="21"/>
        <v>0.8582677165354331</v>
      </c>
      <c r="H78" s="6">
        <f t="shared" si="22"/>
        <v>0.55189873417721524</v>
      </c>
      <c r="I78" s="5"/>
    </row>
    <row r="79" spans="1:9">
      <c r="A79" s="5" t="s">
        <v>169</v>
      </c>
      <c r="B79" s="5">
        <v>105</v>
      </c>
      <c r="C79" s="5">
        <v>145</v>
      </c>
      <c r="D79" s="5">
        <v>22</v>
      </c>
      <c r="E79" s="5">
        <f t="shared" si="16"/>
        <v>55</v>
      </c>
      <c r="F79" s="6">
        <f t="shared" si="20"/>
        <v>0.42</v>
      </c>
      <c r="G79" s="6">
        <f t="shared" si="21"/>
        <v>0.82677165354330706</v>
      </c>
      <c r="H79" s="6">
        <f t="shared" si="22"/>
        <v>0.55702917771883287</v>
      </c>
      <c r="I79" s="5"/>
    </row>
    <row r="80" spans="1:9">
      <c r="A80" s="5" t="s">
        <v>170</v>
      </c>
      <c r="B80" s="5">
        <v>99</v>
      </c>
      <c r="C80" s="5">
        <v>138</v>
      </c>
      <c r="D80" s="5">
        <v>28</v>
      </c>
      <c r="E80" s="5">
        <f t="shared" si="16"/>
        <v>62</v>
      </c>
      <c r="F80" s="6">
        <f t="shared" si="20"/>
        <v>0.41772151898734178</v>
      </c>
      <c r="G80" s="6">
        <f t="shared" si="21"/>
        <v>0.77952755905511806</v>
      </c>
      <c r="H80" s="6">
        <f t="shared" si="22"/>
        <v>0.54395604395604391</v>
      </c>
      <c r="I80" s="5"/>
    </row>
    <row r="81" spans="1:9">
      <c r="A81" s="5" t="s">
        <v>171</v>
      </c>
      <c r="B81" s="5">
        <v>105</v>
      </c>
      <c r="C81" s="5">
        <v>143</v>
      </c>
      <c r="D81" s="5">
        <v>22</v>
      </c>
      <c r="E81" s="5">
        <f t="shared" si="16"/>
        <v>57</v>
      </c>
      <c r="F81" s="6">
        <f t="shared" si="20"/>
        <v>0.42338709677419356</v>
      </c>
      <c r="G81" s="6">
        <f t="shared" si="21"/>
        <v>0.82677165354330706</v>
      </c>
      <c r="H81" s="6">
        <f t="shared" si="22"/>
        <v>0.55999999999999994</v>
      </c>
      <c r="I81" s="5"/>
    </row>
    <row r="82" spans="1:9">
      <c r="A82" s="9" t="s">
        <v>172</v>
      </c>
      <c r="B82" s="10">
        <f>AVERAGE(B74,B75,B76,B77,B78,B79,B80,B81)</f>
        <v>104.75</v>
      </c>
      <c r="C82" s="10">
        <f>AVERAGE(C74,C75,C76,C77,C78,C79,C80,C81)</f>
        <v>149.5</v>
      </c>
      <c r="D82" s="10">
        <f>AVERAGE(D74,D75,D76,D77,D78,D79,D80,D81)</f>
        <v>22.25</v>
      </c>
      <c r="E82" s="10">
        <f t="shared" si="16"/>
        <v>50.5</v>
      </c>
      <c r="F82" s="11">
        <f>AVERAGE(F74,F75,F76,F77,F78,F79,F80,F81)</f>
        <v>0.41209161928220389</v>
      </c>
      <c r="G82" s="11">
        <f>AVERAGE(G74,G75,G76,G77,G78,G79,G80,G81)</f>
        <v>0.8248031496062993</v>
      </c>
      <c r="H82" s="11">
        <f>AVERAGE(H74,H75,H76,H77,H78,H79,H80,H81)</f>
        <v>0.54938867470744024</v>
      </c>
      <c r="I82" s="9" t="s">
        <v>173</v>
      </c>
    </row>
    <row r="83" spans="1:9">
      <c r="A83" s="3" t="s">
        <v>87</v>
      </c>
      <c r="B83" s="4"/>
      <c r="C83" s="4"/>
      <c r="D83" s="4"/>
      <c r="E83" s="4"/>
      <c r="F83" s="4"/>
      <c r="G83" s="4"/>
      <c r="H83" s="4"/>
      <c r="I83" s="4"/>
    </row>
    <row r="84" spans="1:9">
      <c r="A84" s="5" t="s">
        <v>174</v>
      </c>
      <c r="B84" s="5">
        <v>99</v>
      </c>
      <c r="C84" s="5">
        <v>128</v>
      </c>
      <c r="D84" s="5">
        <v>28</v>
      </c>
      <c r="E84" s="5">
        <f t="shared" ref="E84:E101" si="23">327-B84-C84-D84</f>
        <v>72</v>
      </c>
      <c r="F84" s="6">
        <f t="shared" ref="F84:F91" si="24">IFERROR(B84/(B84+C84),0)</f>
        <v>0.43612334801762115</v>
      </c>
      <c r="G84" s="6">
        <f t="shared" ref="G84:G91" si="25">IFERROR(B84/(B84+D84),0)</f>
        <v>0.77952755905511806</v>
      </c>
      <c r="H84" s="6">
        <f t="shared" ref="H84:H91" si="26">IFERROR(2*F84*G84/(F84+G84),0)</f>
        <v>0.55932203389830504</v>
      </c>
      <c r="I84" s="5"/>
    </row>
    <row r="85" spans="1:9">
      <c r="A85" s="7" t="s">
        <v>175</v>
      </c>
      <c r="B85" s="7">
        <v>108</v>
      </c>
      <c r="C85" s="7">
        <v>141</v>
      </c>
      <c r="D85" s="7">
        <v>19</v>
      </c>
      <c r="E85" s="7">
        <f t="shared" si="23"/>
        <v>59</v>
      </c>
      <c r="F85" s="8">
        <f t="shared" si="24"/>
        <v>0.43373493975903615</v>
      </c>
      <c r="G85" s="8">
        <f t="shared" si="25"/>
        <v>0.85039370078740162</v>
      </c>
      <c r="H85" s="8">
        <f t="shared" si="26"/>
        <v>0.57446808510638303</v>
      </c>
      <c r="I85" s="5"/>
    </row>
    <row r="86" spans="1:9">
      <c r="A86" s="5" t="s">
        <v>176</v>
      </c>
      <c r="B86" s="5">
        <v>100</v>
      </c>
      <c r="C86" s="5">
        <v>134</v>
      </c>
      <c r="D86" s="5">
        <v>27</v>
      </c>
      <c r="E86" s="5">
        <f t="shared" si="23"/>
        <v>66</v>
      </c>
      <c r="F86" s="6">
        <f t="shared" si="24"/>
        <v>0.42735042735042733</v>
      </c>
      <c r="G86" s="6">
        <f t="shared" si="25"/>
        <v>0.78740157480314965</v>
      </c>
      <c r="H86" s="6">
        <f t="shared" si="26"/>
        <v>0.554016620498615</v>
      </c>
      <c r="I86" s="5"/>
    </row>
    <row r="87" spans="1:9">
      <c r="A87" s="5" t="s">
        <v>177</v>
      </c>
      <c r="B87" s="5">
        <v>108</v>
      </c>
      <c r="C87" s="5">
        <v>146</v>
      </c>
      <c r="D87" s="5">
        <v>19</v>
      </c>
      <c r="E87" s="5">
        <f t="shared" si="23"/>
        <v>54</v>
      </c>
      <c r="F87" s="6">
        <f t="shared" si="24"/>
        <v>0.42519685039370081</v>
      </c>
      <c r="G87" s="6">
        <f t="shared" si="25"/>
        <v>0.85039370078740162</v>
      </c>
      <c r="H87" s="6">
        <f t="shared" si="26"/>
        <v>0.56692913385826782</v>
      </c>
      <c r="I87" s="5"/>
    </row>
    <row r="88" spans="1:9">
      <c r="A88" s="5" t="s">
        <v>178</v>
      </c>
      <c r="B88" s="5">
        <v>107</v>
      </c>
      <c r="C88" s="5">
        <v>149</v>
      </c>
      <c r="D88" s="5">
        <v>20</v>
      </c>
      <c r="E88" s="5">
        <f t="shared" si="23"/>
        <v>51</v>
      </c>
      <c r="F88" s="6">
        <f t="shared" si="24"/>
        <v>0.41796875</v>
      </c>
      <c r="G88" s="6">
        <f t="shared" si="25"/>
        <v>0.84251968503937003</v>
      </c>
      <c r="H88" s="6">
        <f t="shared" si="26"/>
        <v>0.55874673629242821</v>
      </c>
      <c r="I88" s="5"/>
    </row>
    <row r="89" spans="1:9">
      <c r="A89" s="5" t="s">
        <v>179</v>
      </c>
      <c r="B89" s="5">
        <v>105</v>
      </c>
      <c r="C89" s="5">
        <v>136</v>
      </c>
      <c r="D89" s="5">
        <v>22</v>
      </c>
      <c r="E89" s="5">
        <f t="shared" si="23"/>
        <v>64</v>
      </c>
      <c r="F89" s="6">
        <f t="shared" si="24"/>
        <v>0.43568464730290457</v>
      </c>
      <c r="G89" s="6">
        <f t="shared" si="25"/>
        <v>0.82677165354330706</v>
      </c>
      <c r="H89" s="6">
        <f t="shared" si="26"/>
        <v>0.57065217391304346</v>
      </c>
      <c r="I89" s="5"/>
    </row>
    <row r="90" spans="1:9">
      <c r="A90" s="5" t="s">
        <v>180</v>
      </c>
      <c r="B90" s="5">
        <v>98</v>
      </c>
      <c r="C90" s="5">
        <v>132</v>
      </c>
      <c r="D90" s="5">
        <v>29</v>
      </c>
      <c r="E90" s="5">
        <f t="shared" si="23"/>
        <v>68</v>
      </c>
      <c r="F90" s="6">
        <f t="shared" si="24"/>
        <v>0.42608695652173911</v>
      </c>
      <c r="G90" s="6">
        <f t="shared" si="25"/>
        <v>0.77165354330708658</v>
      </c>
      <c r="H90" s="6">
        <f t="shared" si="26"/>
        <v>0.5490196078431373</v>
      </c>
      <c r="I90" s="5"/>
    </row>
    <row r="91" spans="1:9">
      <c r="A91" s="5" t="s">
        <v>181</v>
      </c>
      <c r="B91" s="5">
        <v>105</v>
      </c>
      <c r="C91" s="5">
        <v>141</v>
      </c>
      <c r="D91" s="5">
        <v>22</v>
      </c>
      <c r="E91" s="5">
        <f t="shared" si="23"/>
        <v>59</v>
      </c>
      <c r="F91" s="6">
        <f t="shared" si="24"/>
        <v>0.42682926829268292</v>
      </c>
      <c r="G91" s="6">
        <f t="shared" si="25"/>
        <v>0.82677165354330706</v>
      </c>
      <c r="H91" s="6">
        <f t="shared" si="26"/>
        <v>0.56300268096514738</v>
      </c>
      <c r="I91" s="5"/>
    </row>
    <row r="92" spans="1:9">
      <c r="A92" s="9" t="s">
        <v>182</v>
      </c>
      <c r="B92" s="10">
        <f>AVERAGE(B84,B85,B86,B87,B88,B89,B90,B91)</f>
        <v>103.75</v>
      </c>
      <c r="C92" s="10">
        <f>AVERAGE(C84,C85,C86,C87,C88,C89,C90,C91)</f>
        <v>138.375</v>
      </c>
      <c r="D92" s="10">
        <f>AVERAGE(D84,D85,D86,D87,D88,D89,D90,D91)</f>
        <v>23.25</v>
      </c>
      <c r="E92" s="10">
        <f t="shared" si="23"/>
        <v>61.625</v>
      </c>
      <c r="F92" s="11">
        <f>AVERAGE(F84,F85,F86,F87,F88,F89,F90,F91)</f>
        <v>0.42862189845476395</v>
      </c>
      <c r="G92" s="11">
        <f>AVERAGE(G84,G85,G86,G87,G88,G89,G90,G91)</f>
        <v>0.81692913385826782</v>
      </c>
      <c r="H92" s="11">
        <f>AVERAGE(H84,H85,H86,H87,H88,H89,H90,H91)</f>
        <v>0.56201963404691591</v>
      </c>
      <c r="I92" s="9"/>
    </row>
    <row r="93" spans="1:9">
      <c r="A93" s="5" t="s">
        <v>183</v>
      </c>
      <c r="B93" s="5">
        <v>61</v>
      </c>
      <c r="C93" s="5">
        <v>57</v>
      </c>
      <c r="D93" s="5">
        <v>66</v>
      </c>
      <c r="E93" s="5">
        <f t="shared" si="23"/>
        <v>143</v>
      </c>
      <c r="F93" s="6">
        <f t="shared" ref="F93:F100" si="27">IFERROR(B93/(B93+C93),0)</f>
        <v>0.51694915254237284</v>
      </c>
      <c r="G93" s="6">
        <f t="shared" ref="G93:G100" si="28">IFERROR(B93/(B93+D93),0)</f>
        <v>0.48031496062992124</v>
      </c>
      <c r="H93" s="6">
        <f t="shared" ref="H93:H100" si="29">IFERROR(2*F93*G93/(F93+G93),0)</f>
        <v>0.49795918367346936</v>
      </c>
      <c r="I93" s="5"/>
    </row>
    <row r="94" spans="1:9">
      <c r="A94" s="5" t="s">
        <v>184</v>
      </c>
      <c r="B94" s="5">
        <v>79</v>
      </c>
      <c r="C94" s="5">
        <v>79</v>
      </c>
      <c r="D94" s="5">
        <v>48</v>
      </c>
      <c r="E94" s="5">
        <f t="shared" si="23"/>
        <v>121</v>
      </c>
      <c r="F94" s="6">
        <f t="shared" si="27"/>
        <v>0.5</v>
      </c>
      <c r="G94" s="6">
        <f t="shared" si="28"/>
        <v>0.62204724409448819</v>
      </c>
      <c r="H94" s="6">
        <f t="shared" si="29"/>
        <v>0.55438596491228065</v>
      </c>
      <c r="I94" s="5"/>
    </row>
    <row r="95" spans="1:9">
      <c r="A95" s="5" t="s">
        <v>185</v>
      </c>
      <c r="B95" s="5">
        <v>50</v>
      </c>
      <c r="C95" s="5">
        <v>53</v>
      </c>
      <c r="D95" s="5">
        <v>77</v>
      </c>
      <c r="E95" s="5">
        <f t="shared" si="23"/>
        <v>147</v>
      </c>
      <c r="F95" s="6">
        <f t="shared" si="27"/>
        <v>0.4854368932038835</v>
      </c>
      <c r="G95" s="6">
        <f t="shared" si="28"/>
        <v>0.39370078740157483</v>
      </c>
      <c r="H95" s="6">
        <f t="shared" si="29"/>
        <v>0.43478260869565222</v>
      </c>
      <c r="I95" s="5"/>
    </row>
    <row r="96" spans="1:9">
      <c r="A96" s="5" t="s">
        <v>186</v>
      </c>
      <c r="B96" s="5">
        <v>71</v>
      </c>
      <c r="C96" s="5">
        <v>79</v>
      </c>
      <c r="D96" s="5">
        <v>56</v>
      </c>
      <c r="E96" s="5">
        <f t="shared" si="23"/>
        <v>121</v>
      </c>
      <c r="F96" s="6">
        <f t="shared" si="27"/>
        <v>0.47333333333333333</v>
      </c>
      <c r="G96" s="6">
        <f t="shared" si="28"/>
        <v>0.55905511811023623</v>
      </c>
      <c r="H96" s="6">
        <f t="shared" si="29"/>
        <v>0.5126353790613718</v>
      </c>
      <c r="I96" s="5"/>
    </row>
    <row r="97" spans="1:9">
      <c r="A97" s="5" t="s">
        <v>187</v>
      </c>
      <c r="B97" s="5">
        <v>80</v>
      </c>
      <c r="C97" s="5">
        <v>89</v>
      </c>
      <c r="D97" s="5">
        <v>47</v>
      </c>
      <c r="E97" s="5">
        <f t="shared" si="23"/>
        <v>111</v>
      </c>
      <c r="F97" s="6">
        <f t="shared" si="27"/>
        <v>0.47337278106508873</v>
      </c>
      <c r="G97" s="6">
        <f t="shared" si="28"/>
        <v>0.62992125984251968</v>
      </c>
      <c r="H97" s="6">
        <f t="shared" si="29"/>
        <v>0.54054054054054057</v>
      </c>
      <c r="I97" s="5"/>
    </row>
    <row r="98" spans="1:9">
      <c r="A98" s="5" t="s">
        <v>188</v>
      </c>
      <c r="B98" s="5">
        <v>69</v>
      </c>
      <c r="C98" s="5">
        <v>77</v>
      </c>
      <c r="D98" s="5">
        <v>58</v>
      </c>
      <c r="E98" s="5">
        <f t="shared" si="23"/>
        <v>123</v>
      </c>
      <c r="F98" s="6">
        <f t="shared" si="27"/>
        <v>0.4726027397260274</v>
      </c>
      <c r="G98" s="6">
        <f t="shared" si="28"/>
        <v>0.54330708661417326</v>
      </c>
      <c r="H98" s="6">
        <f t="shared" si="29"/>
        <v>0.50549450549450547</v>
      </c>
      <c r="I98" s="5"/>
    </row>
    <row r="99" spans="1:9">
      <c r="A99" s="5" t="s">
        <v>189</v>
      </c>
      <c r="B99" s="5">
        <v>52</v>
      </c>
      <c r="C99" s="5">
        <v>59</v>
      </c>
      <c r="D99" s="5">
        <v>75</v>
      </c>
      <c r="E99" s="5">
        <f t="shared" si="23"/>
        <v>141</v>
      </c>
      <c r="F99" s="6">
        <f t="shared" si="27"/>
        <v>0.46846846846846846</v>
      </c>
      <c r="G99" s="6">
        <f t="shared" si="28"/>
        <v>0.40944881889763779</v>
      </c>
      <c r="H99" s="6">
        <f t="shared" si="29"/>
        <v>0.43697478991596633</v>
      </c>
      <c r="I99" s="5"/>
    </row>
    <row r="100" spans="1:9">
      <c r="A100" s="7" t="s">
        <v>190</v>
      </c>
      <c r="B100" s="7">
        <v>80</v>
      </c>
      <c r="C100" s="7">
        <v>72</v>
      </c>
      <c r="D100" s="7">
        <v>47</v>
      </c>
      <c r="E100" s="7">
        <f t="shared" si="23"/>
        <v>128</v>
      </c>
      <c r="F100" s="8">
        <f t="shared" si="27"/>
        <v>0.52631578947368418</v>
      </c>
      <c r="G100" s="8">
        <f t="shared" si="28"/>
        <v>0.62992125984251968</v>
      </c>
      <c r="H100" s="8">
        <f t="shared" si="29"/>
        <v>0.57347670250896043</v>
      </c>
      <c r="I100" s="5"/>
    </row>
    <row r="101" spans="1:9">
      <c r="A101" s="9" t="s">
        <v>191</v>
      </c>
      <c r="B101" s="10">
        <f>AVERAGE(B93,B94,B95,B96,B97,B98,B99,B100)</f>
        <v>67.75</v>
      </c>
      <c r="C101" s="10">
        <f>AVERAGE(C93,C94,C95,C96,C97,C98,C99,C100)</f>
        <v>70.625</v>
      </c>
      <c r="D101" s="10">
        <f>AVERAGE(D93,D94,D95,D96,D97,D98,D99,D100)</f>
        <v>59.25</v>
      </c>
      <c r="E101" s="10">
        <f t="shared" si="23"/>
        <v>129.375</v>
      </c>
      <c r="F101" s="11">
        <f>AVERAGE(F93,F94,F95,F96,F97,F98,F99,F100)</f>
        <v>0.48955989472660727</v>
      </c>
      <c r="G101" s="11">
        <f>AVERAGE(G93,G94,G95,G96,G97,G98,G99,G100)</f>
        <v>0.5334645669291338</v>
      </c>
      <c r="H101" s="11">
        <f>AVERAGE(H93,H94,H95,H96,H97,H98,H99,H100)</f>
        <v>0.50703120935034329</v>
      </c>
      <c r="I101" s="9"/>
    </row>
  </sheetData>
  <mergeCells count="16">
    <mergeCell ref="B1:I1"/>
    <mergeCell ref="B8:I8"/>
    <mergeCell ref="B4:I4"/>
    <mergeCell ref="B6:I6"/>
    <mergeCell ref="B2:I2"/>
    <mergeCell ref="B16:I16"/>
    <mergeCell ref="B10:I10"/>
    <mergeCell ref="B3:I3"/>
    <mergeCell ref="B5:I5"/>
    <mergeCell ref="B14:I14"/>
    <mergeCell ref="B9:I9"/>
    <mergeCell ref="B12:I12"/>
    <mergeCell ref="B13:I13"/>
    <mergeCell ref="B15:I15"/>
    <mergeCell ref="B7:I7"/>
    <mergeCell ref="B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workbookViewId="0"/>
  </sheetViews>
  <sheetFormatPr defaultRowHeight="14.35"/>
  <cols>
    <col min="1" max="1" width="34" customWidth="1"/>
    <col min="2" max="5" width="7" customWidth="1"/>
    <col min="6" max="8" width="8" customWidth="1"/>
    <col min="9" max="9" width="70" customWidth="1"/>
  </cols>
  <sheetData>
    <row r="1" spans="1:9" ht="15" customHeight="1">
      <c r="A1" s="1" t="s">
        <v>0</v>
      </c>
      <c r="B1" s="17" t="s">
        <v>192</v>
      </c>
      <c r="C1" s="18"/>
      <c r="D1" s="18"/>
      <c r="E1" s="18"/>
      <c r="F1" s="18"/>
      <c r="G1" s="18"/>
      <c r="H1" s="18"/>
      <c r="I1" s="18"/>
    </row>
    <row r="2" spans="1:9" ht="15" customHeight="1">
      <c r="A2" s="1" t="s">
        <v>2</v>
      </c>
      <c r="B2" s="19" t="s">
        <v>3</v>
      </c>
      <c r="C2" s="18"/>
      <c r="D2" s="18"/>
      <c r="E2" s="18"/>
      <c r="F2" s="18"/>
      <c r="G2" s="18"/>
      <c r="H2" s="18"/>
      <c r="I2" s="18"/>
    </row>
    <row r="3" spans="1:9" ht="15" customHeight="1">
      <c r="A3" s="1" t="s">
        <v>4</v>
      </c>
      <c r="B3" s="17" t="s">
        <v>101</v>
      </c>
      <c r="C3" s="18"/>
      <c r="D3" s="18"/>
      <c r="E3" s="18"/>
      <c r="F3" s="18"/>
      <c r="G3" s="18"/>
      <c r="H3" s="18"/>
      <c r="I3" s="18"/>
    </row>
    <row r="4" spans="1:9" ht="30" customHeight="1">
      <c r="A4" s="1" t="s">
        <v>6</v>
      </c>
      <c r="B4" s="17" t="s">
        <v>193</v>
      </c>
      <c r="C4" s="18"/>
      <c r="D4" s="18"/>
      <c r="E4" s="18"/>
      <c r="F4" s="18"/>
      <c r="G4" s="18"/>
      <c r="H4" s="18"/>
      <c r="I4" s="18"/>
    </row>
    <row r="5" spans="1:9" ht="15" customHeight="1">
      <c r="A5" s="1" t="s">
        <v>8</v>
      </c>
      <c r="B5" s="17" t="s">
        <v>194</v>
      </c>
      <c r="C5" s="18"/>
      <c r="D5" s="18"/>
      <c r="E5" s="18"/>
      <c r="F5" s="18"/>
      <c r="G5" s="18"/>
      <c r="H5" s="18"/>
      <c r="I5" s="18"/>
    </row>
    <row r="6" spans="1:9" ht="15" customHeight="1">
      <c r="A6" s="1" t="s">
        <v>10</v>
      </c>
      <c r="B6" s="17">
        <v>50</v>
      </c>
      <c r="C6" s="18"/>
      <c r="D6" s="18"/>
      <c r="E6" s="18"/>
      <c r="F6" s="18"/>
      <c r="G6" s="18"/>
      <c r="H6" s="18"/>
      <c r="I6" s="18"/>
    </row>
    <row r="7" spans="1:9" ht="15" customHeight="1">
      <c r="A7" s="1" t="s">
        <v>11</v>
      </c>
      <c r="B7" s="17">
        <v>1000</v>
      </c>
      <c r="C7" s="18"/>
      <c r="D7" s="18"/>
      <c r="E7" s="18"/>
      <c r="F7" s="18"/>
      <c r="G7" s="18"/>
      <c r="H7" s="18"/>
      <c r="I7" s="18"/>
    </row>
    <row r="8" spans="1:9" ht="15" customHeight="1">
      <c r="A8" s="1" t="s">
        <v>12</v>
      </c>
      <c r="B8" s="17">
        <v>320</v>
      </c>
      <c r="C8" s="18"/>
      <c r="D8" s="18"/>
      <c r="E8" s="18"/>
      <c r="F8" s="18"/>
      <c r="G8" s="18"/>
      <c r="H8" s="18"/>
      <c r="I8" s="18"/>
    </row>
    <row r="9" spans="1:9" ht="15" customHeight="1">
      <c r="A9" s="1" t="s">
        <v>13</v>
      </c>
      <c r="B9" s="17">
        <v>680</v>
      </c>
      <c r="C9" s="18"/>
      <c r="D9" s="18"/>
      <c r="E9" s="18"/>
      <c r="F9" s="18"/>
      <c r="G9" s="18"/>
      <c r="H9" s="18"/>
      <c r="I9" s="18"/>
    </row>
    <row r="10" spans="1:9" ht="15" customHeight="1">
      <c r="A10" s="1" t="s">
        <v>14</v>
      </c>
      <c r="B10" s="17">
        <v>0.32</v>
      </c>
      <c r="C10" s="18"/>
      <c r="D10" s="18"/>
      <c r="E10" s="18"/>
      <c r="F10" s="18"/>
      <c r="G10" s="18"/>
      <c r="H10" s="18"/>
      <c r="I10" s="18"/>
    </row>
    <row r="11" spans="1:9" ht="15" customHeight="1">
      <c r="A11" s="1" t="s">
        <v>15</v>
      </c>
      <c r="B11" s="17">
        <v>1000</v>
      </c>
      <c r="C11" s="18"/>
      <c r="D11" s="18"/>
      <c r="E11" s="18"/>
      <c r="F11" s="18"/>
      <c r="G11" s="18"/>
      <c r="H11" s="18"/>
      <c r="I11" s="18"/>
    </row>
    <row r="12" spans="1:9" ht="15" customHeight="1">
      <c r="A12" s="1" t="s">
        <v>16</v>
      </c>
      <c r="B12" s="17">
        <v>1</v>
      </c>
      <c r="C12" s="18"/>
      <c r="D12" s="18"/>
      <c r="E12" s="18"/>
      <c r="F12" s="18"/>
      <c r="G12" s="18"/>
      <c r="H12" s="18"/>
      <c r="I12" s="18"/>
    </row>
    <row r="13" spans="1:9" ht="15" customHeight="1">
      <c r="A13" s="1" t="s">
        <v>104</v>
      </c>
      <c r="B13" s="17" t="s">
        <v>105</v>
      </c>
      <c r="C13" s="18"/>
      <c r="D13" s="18"/>
      <c r="E13" s="18"/>
      <c r="F13" s="18"/>
      <c r="G13" s="18"/>
      <c r="H13" s="18"/>
      <c r="I13" s="18"/>
    </row>
    <row r="14" spans="1:9" ht="15" customHeight="1">
      <c r="A14" s="1" t="s">
        <v>19</v>
      </c>
      <c r="B14" s="17" t="s">
        <v>195</v>
      </c>
      <c r="C14" s="18"/>
      <c r="D14" s="18"/>
      <c r="E14" s="18"/>
      <c r="F14" s="18"/>
      <c r="G14" s="18"/>
      <c r="H14" s="18"/>
      <c r="I14" s="18"/>
    </row>
    <row r="15" spans="1:9" ht="15" customHeight="1">
      <c r="A15" s="1" t="s">
        <v>21</v>
      </c>
      <c r="B15" s="17" t="s">
        <v>196</v>
      </c>
      <c r="C15" s="18"/>
      <c r="D15" s="18"/>
      <c r="E15" s="18"/>
      <c r="F15" s="18"/>
      <c r="G15" s="18"/>
      <c r="H15" s="18"/>
      <c r="I15" s="18"/>
    </row>
    <row r="16" spans="1:9" ht="45" customHeight="1">
      <c r="A16" s="1" t="s">
        <v>23</v>
      </c>
      <c r="B16" s="17" t="s">
        <v>197</v>
      </c>
      <c r="C16" s="18"/>
      <c r="D16" s="18"/>
      <c r="E16" s="18"/>
      <c r="F16" s="18"/>
      <c r="G16" s="18"/>
      <c r="H16" s="18"/>
      <c r="I16" s="18"/>
    </row>
    <row r="18" spans="1:9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31</v>
      </c>
      <c r="H18" s="2" t="s">
        <v>32</v>
      </c>
      <c r="I18" s="2" t="s">
        <v>33</v>
      </c>
    </row>
    <row r="19" spans="1:9">
      <c r="A19" s="3" t="s">
        <v>198</v>
      </c>
      <c r="B19" s="4"/>
      <c r="C19" s="4"/>
      <c r="D19" s="4"/>
      <c r="E19" s="4"/>
      <c r="F19" s="4"/>
      <c r="G19" s="4"/>
      <c r="H19" s="4"/>
      <c r="I19" s="4"/>
    </row>
    <row r="20" spans="1:9">
      <c r="A20" s="5" t="s">
        <v>199</v>
      </c>
      <c r="B20" s="5">
        <v>220</v>
      </c>
      <c r="C20" s="5">
        <v>370</v>
      </c>
      <c r="D20" s="5">
        <v>100</v>
      </c>
      <c r="E20" s="5">
        <f>1000-B20-C20-D20</f>
        <v>310</v>
      </c>
      <c r="F20" s="6">
        <f>IFERROR(B20/(B20+C20),0)</f>
        <v>0.3728813559322034</v>
      </c>
      <c r="G20" s="6">
        <f>IFERROR(B20/(B20+D20),0)</f>
        <v>0.6875</v>
      </c>
      <c r="H20" s="6">
        <f>IFERROR(2*F20*G20/(F20+G20),0)</f>
        <v>0.48351648351648352</v>
      </c>
      <c r="I20" s="5"/>
    </row>
    <row r="21" spans="1:9">
      <c r="A21" s="5" t="s">
        <v>200</v>
      </c>
      <c r="B21" s="5">
        <v>158</v>
      </c>
      <c r="C21" s="5">
        <v>315</v>
      </c>
      <c r="D21" s="5">
        <v>162</v>
      </c>
      <c r="E21" s="5">
        <f>1000-B21-C21-D21</f>
        <v>365</v>
      </c>
      <c r="F21" s="6">
        <f>IFERROR(B21/(B21+C21),0)</f>
        <v>0.33403805496828753</v>
      </c>
      <c r="G21" s="6">
        <f>IFERROR(B21/(B21+D21),0)</f>
        <v>0.49375000000000002</v>
      </c>
      <c r="H21" s="6">
        <f>IFERROR(2*F21*G21/(F21+G21),0)</f>
        <v>0.39848675914249687</v>
      </c>
      <c r="I21" s="5"/>
    </row>
    <row r="22" spans="1:9">
      <c r="A22" s="7" t="s">
        <v>201</v>
      </c>
      <c r="B22" s="7">
        <v>200</v>
      </c>
      <c r="C22" s="7">
        <v>277</v>
      </c>
      <c r="D22" s="7">
        <v>119</v>
      </c>
      <c r="E22" s="7">
        <f>1000-B22-C22-D22</f>
        <v>404</v>
      </c>
      <c r="F22" s="8">
        <f>IFERROR(B22/(B22+C22),0)</f>
        <v>0.41928721174004191</v>
      </c>
      <c r="G22" s="8">
        <f>IFERROR(B22/(B22+D22),0)</f>
        <v>0.62695924764890287</v>
      </c>
      <c r="H22" s="8">
        <f>IFERROR(2*F22*G22/(F22+G22),0)</f>
        <v>0.50251256281407031</v>
      </c>
      <c r="I22" s="5"/>
    </row>
    <row r="23" spans="1:9">
      <c r="A23" s="3" t="s">
        <v>202</v>
      </c>
      <c r="B23" s="4"/>
      <c r="C23" s="4"/>
      <c r="D23" s="4"/>
      <c r="E23" s="4"/>
      <c r="F23" s="4"/>
      <c r="G23" s="4"/>
      <c r="H23" s="4"/>
      <c r="I23" s="4"/>
    </row>
    <row r="24" spans="1:9">
      <c r="A24" s="7" t="s">
        <v>203</v>
      </c>
      <c r="B24" s="7">
        <v>266</v>
      </c>
      <c r="C24" s="7">
        <v>456</v>
      </c>
      <c r="D24" s="7">
        <v>54</v>
      </c>
      <c r="E24" s="7">
        <f>1000-B24-C24-D24</f>
        <v>224</v>
      </c>
      <c r="F24" s="8">
        <f>IFERROR(B24/(B24+C24),0)</f>
        <v>0.36842105263157893</v>
      </c>
      <c r="G24" s="8">
        <f>IFERROR(B24/(B24+D24),0)</f>
        <v>0.83125000000000004</v>
      </c>
      <c r="H24" s="8">
        <f>IFERROR(2*F24*G24/(F24+G24),0)</f>
        <v>0.51055662188099804</v>
      </c>
      <c r="I24" s="5"/>
    </row>
    <row r="25" spans="1:9">
      <c r="A25" s="5" t="s">
        <v>204</v>
      </c>
      <c r="B25" s="5">
        <v>132</v>
      </c>
      <c r="C25" s="5">
        <v>240</v>
      </c>
      <c r="D25" s="5">
        <v>188</v>
      </c>
      <c r="E25" s="5">
        <f>1000-B25-C25-D25</f>
        <v>440</v>
      </c>
      <c r="F25" s="6">
        <f>IFERROR(B25/(B25+C25),0)</f>
        <v>0.35483870967741937</v>
      </c>
      <c r="G25" s="6">
        <f>IFERROR(B25/(B25+D25),0)</f>
        <v>0.41249999999999998</v>
      </c>
      <c r="H25" s="6">
        <f>IFERROR(2*F25*G25/(F25+G25),0)</f>
        <v>0.38150289017341038</v>
      </c>
      <c r="I25" s="5"/>
    </row>
    <row r="26" spans="1:9">
      <c r="A26" s="5" t="s">
        <v>205</v>
      </c>
      <c r="B26" s="5">
        <v>204</v>
      </c>
      <c r="C26" s="5">
        <v>305</v>
      </c>
      <c r="D26" s="5">
        <v>116</v>
      </c>
      <c r="E26" s="5">
        <f>1000-B26-C26-D26</f>
        <v>375</v>
      </c>
      <c r="F26" s="6">
        <f>IFERROR(B26/(B26+C26),0)</f>
        <v>0.40078585461689586</v>
      </c>
      <c r="G26" s="6">
        <f>IFERROR(B26/(B26+D26),0)</f>
        <v>0.63749999999999996</v>
      </c>
      <c r="H26" s="6">
        <f>IFERROR(2*F26*G26/(F26+G26),0)</f>
        <v>0.49215922798552475</v>
      </c>
      <c r="I26" s="5"/>
    </row>
    <row r="27" spans="1:9">
      <c r="A27" s="3" t="s">
        <v>206</v>
      </c>
      <c r="B27" s="4"/>
      <c r="C27" s="4"/>
      <c r="D27" s="4"/>
      <c r="E27" s="4"/>
      <c r="F27" s="4"/>
      <c r="G27" s="4"/>
      <c r="H27" s="4"/>
      <c r="I27" s="4"/>
    </row>
    <row r="28" spans="1:9">
      <c r="A28" s="5" t="s">
        <v>207</v>
      </c>
      <c r="B28" s="5" t="s">
        <v>208</v>
      </c>
      <c r="C28" s="5"/>
      <c r="D28" s="5"/>
      <c r="E28" s="5"/>
      <c r="F28" s="5"/>
      <c r="G28" s="5"/>
      <c r="H28" s="5"/>
      <c r="I28" s="5" t="s">
        <v>209</v>
      </c>
    </row>
    <row r="29" spans="1:9">
      <c r="A29" s="5" t="s">
        <v>210</v>
      </c>
      <c r="B29" s="5" t="s">
        <v>208</v>
      </c>
      <c r="C29" s="5"/>
      <c r="D29" s="5"/>
      <c r="E29" s="5"/>
      <c r="F29" s="5"/>
      <c r="G29" s="5"/>
      <c r="H29" s="5"/>
      <c r="I29" s="5" t="s">
        <v>211</v>
      </c>
    </row>
    <row r="30" spans="1:9">
      <c r="A30" s="3" t="s">
        <v>212</v>
      </c>
      <c r="B30" s="4"/>
      <c r="C30" s="4"/>
      <c r="D30" s="4"/>
      <c r="E30" s="4"/>
      <c r="F30" s="4"/>
      <c r="G30" s="4"/>
      <c r="H30" s="4"/>
      <c r="I30" s="4"/>
    </row>
    <row r="31" spans="1:9">
      <c r="A31" s="5" t="s">
        <v>213</v>
      </c>
      <c r="B31" s="5">
        <v>205</v>
      </c>
      <c r="C31" s="5">
        <v>331</v>
      </c>
      <c r="D31" s="5">
        <v>115</v>
      </c>
      <c r="E31" s="5">
        <f>1000-B31-C31-D31</f>
        <v>349</v>
      </c>
      <c r="F31" s="6">
        <f>IFERROR(B31/(B31+C31),0)</f>
        <v>0.3824626865671642</v>
      </c>
      <c r="G31" s="6">
        <f>IFERROR(B31/(B31+D31),0)</f>
        <v>0.640625</v>
      </c>
      <c r="H31" s="6">
        <f>IFERROR(2*F31*G31/(F31+G31),0)</f>
        <v>0.47897196261682234</v>
      </c>
      <c r="I31" s="5"/>
    </row>
    <row r="32" spans="1:9">
      <c r="A32" s="7" t="s">
        <v>214</v>
      </c>
      <c r="B32" s="7">
        <v>213</v>
      </c>
      <c r="C32" s="7">
        <v>351</v>
      </c>
      <c r="D32" s="7">
        <v>107</v>
      </c>
      <c r="E32" s="7">
        <f>1000-B32-C32-D32</f>
        <v>329</v>
      </c>
      <c r="F32" s="8">
        <f>IFERROR(B32/(B32+C32),0)</f>
        <v>0.37765957446808512</v>
      </c>
      <c r="G32" s="8">
        <f>IFERROR(B32/(B32+D32),0)</f>
        <v>0.66562500000000002</v>
      </c>
      <c r="H32" s="8">
        <f>IFERROR(2*F32*G32/(F32+G32),0)</f>
        <v>0.48190045248868779</v>
      </c>
      <c r="I32" s="5"/>
    </row>
    <row r="33" spans="1:9">
      <c r="A33" s="3" t="s">
        <v>215</v>
      </c>
      <c r="B33" s="4"/>
      <c r="C33" s="4"/>
      <c r="D33" s="4"/>
      <c r="E33" s="4"/>
      <c r="F33" s="4"/>
      <c r="G33" s="4"/>
      <c r="H33" s="4"/>
      <c r="I33" s="4"/>
    </row>
    <row r="34" spans="1:9">
      <c r="A34" s="7" t="s">
        <v>216</v>
      </c>
      <c r="B34" s="7">
        <v>241</v>
      </c>
      <c r="C34" s="7">
        <v>402</v>
      </c>
      <c r="D34" s="7">
        <v>79</v>
      </c>
      <c r="E34" s="7">
        <f>1000-B34-C34-D34</f>
        <v>278</v>
      </c>
      <c r="F34" s="8">
        <f>IFERROR(B34/(B34+C34),0)</f>
        <v>0.37480559875583203</v>
      </c>
      <c r="G34" s="8">
        <f>IFERROR(B34/(B34+D34),0)</f>
        <v>0.75312500000000004</v>
      </c>
      <c r="H34" s="8">
        <f>IFERROR(2*F34*G34/(F34+G34),0)</f>
        <v>0.50051921079958461</v>
      </c>
      <c r="I34" s="5" t="s">
        <v>217</v>
      </c>
    </row>
    <row r="35" spans="1:9">
      <c r="A35" s="7" t="s">
        <v>218</v>
      </c>
      <c r="B35" s="7">
        <v>281</v>
      </c>
      <c r="C35" s="7">
        <v>487</v>
      </c>
      <c r="D35" s="7">
        <v>39</v>
      </c>
      <c r="E35" s="7">
        <f>1000-B35-C35-D35</f>
        <v>193</v>
      </c>
      <c r="F35" s="8">
        <f>IFERROR(B35/(B35+C35),0)</f>
        <v>0.36588541666666669</v>
      </c>
      <c r="G35" s="8">
        <f>IFERROR(B35/(B35+D35),0)</f>
        <v>0.87812500000000004</v>
      </c>
      <c r="H35" s="8">
        <f>IFERROR(2*F35*G35/(F35+G35),0)</f>
        <v>0.51654411764705888</v>
      </c>
      <c r="I35" s="5" t="s">
        <v>217</v>
      </c>
    </row>
  </sheetData>
  <mergeCells count="16">
    <mergeCell ref="B1:I1"/>
    <mergeCell ref="B8:I8"/>
    <mergeCell ref="B4:I4"/>
    <mergeCell ref="B6:I6"/>
    <mergeCell ref="B2:I2"/>
    <mergeCell ref="B16:I16"/>
    <mergeCell ref="B10:I10"/>
    <mergeCell ref="B3:I3"/>
    <mergeCell ref="B5:I5"/>
    <mergeCell ref="B14:I14"/>
    <mergeCell ref="B9:I9"/>
    <mergeCell ref="B12:I12"/>
    <mergeCell ref="B13:I13"/>
    <mergeCell ref="B15:I15"/>
    <mergeCell ref="B7:I7"/>
    <mergeCell ref="B11:I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"/>
  <sheetViews>
    <sheetView workbookViewId="0"/>
  </sheetViews>
  <sheetFormatPr defaultRowHeight="14.35"/>
  <cols>
    <col min="1" max="1" width="34" customWidth="1"/>
    <col min="2" max="5" width="7" customWidth="1"/>
    <col min="6" max="8" width="8" customWidth="1"/>
    <col min="9" max="9" width="70" customWidth="1"/>
  </cols>
  <sheetData>
    <row r="1" spans="1:9" ht="15" customHeight="1">
      <c r="A1" s="1" t="s">
        <v>0</v>
      </c>
      <c r="B1" s="17" t="s">
        <v>219</v>
      </c>
      <c r="C1" s="18"/>
      <c r="D1" s="18"/>
      <c r="E1" s="18"/>
      <c r="F1" s="18"/>
      <c r="G1" s="18"/>
      <c r="H1" s="18"/>
      <c r="I1" s="18"/>
    </row>
    <row r="2" spans="1:9" ht="15" customHeight="1">
      <c r="A2" s="1" t="s">
        <v>2</v>
      </c>
      <c r="B2" s="19" t="s">
        <v>3</v>
      </c>
      <c r="C2" s="18"/>
      <c r="D2" s="18"/>
      <c r="E2" s="18"/>
      <c r="F2" s="18"/>
      <c r="G2" s="18"/>
      <c r="H2" s="18"/>
      <c r="I2" s="18"/>
    </row>
    <row r="3" spans="1:9" ht="15" customHeight="1">
      <c r="A3" s="1" t="s">
        <v>4</v>
      </c>
      <c r="B3" s="17" t="s">
        <v>101</v>
      </c>
      <c r="C3" s="18"/>
      <c r="D3" s="18"/>
      <c r="E3" s="18"/>
      <c r="F3" s="18"/>
      <c r="G3" s="18"/>
      <c r="H3" s="18"/>
      <c r="I3" s="18"/>
    </row>
    <row r="4" spans="1:9" ht="15" customHeight="1">
      <c r="A4" s="1" t="s">
        <v>6</v>
      </c>
      <c r="B4" s="17" t="s">
        <v>220</v>
      </c>
      <c r="C4" s="18"/>
      <c r="D4" s="18"/>
      <c r="E4" s="18"/>
      <c r="F4" s="18"/>
      <c r="G4" s="18"/>
      <c r="H4" s="18"/>
      <c r="I4" s="18"/>
    </row>
    <row r="5" spans="1:9" ht="15" customHeight="1">
      <c r="A5" s="1" t="s">
        <v>8</v>
      </c>
      <c r="B5" s="17" t="s">
        <v>221</v>
      </c>
      <c r="C5" s="18"/>
      <c r="D5" s="18"/>
      <c r="E5" s="18"/>
      <c r="F5" s="18"/>
      <c r="G5" s="18"/>
      <c r="H5" s="18"/>
      <c r="I5" s="18"/>
    </row>
    <row r="6" spans="1:9" ht="15" customHeight="1">
      <c r="A6" s="1" t="s">
        <v>10</v>
      </c>
      <c r="B6" s="17">
        <v>25</v>
      </c>
      <c r="C6" s="18"/>
      <c r="D6" s="18"/>
      <c r="E6" s="18"/>
      <c r="F6" s="18"/>
      <c r="G6" s="18"/>
      <c r="H6" s="18"/>
      <c r="I6" s="18"/>
    </row>
    <row r="7" spans="1:9" ht="15" customHeight="1">
      <c r="A7" s="1" t="s">
        <v>11</v>
      </c>
      <c r="B7" s="17">
        <v>327</v>
      </c>
      <c r="C7" s="18"/>
      <c r="D7" s="18"/>
      <c r="E7" s="18"/>
      <c r="F7" s="18"/>
      <c r="G7" s="18"/>
      <c r="H7" s="18"/>
      <c r="I7" s="18"/>
    </row>
    <row r="8" spans="1:9" ht="15" customHeight="1">
      <c r="A8" s="1" t="s">
        <v>12</v>
      </c>
      <c r="B8" s="17">
        <v>127</v>
      </c>
      <c r="C8" s="18"/>
      <c r="D8" s="18"/>
      <c r="E8" s="18"/>
      <c r="F8" s="18"/>
      <c r="G8" s="18"/>
      <c r="H8" s="18"/>
      <c r="I8" s="18"/>
    </row>
    <row r="9" spans="1:9" ht="15" customHeight="1">
      <c r="A9" s="1" t="s">
        <v>13</v>
      </c>
      <c r="B9" s="17">
        <v>200</v>
      </c>
      <c r="C9" s="18"/>
      <c r="D9" s="18"/>
      <c r="E9" s="18"/>
      <c r="F9" s="18"/>
      <c r="G9" s="18"/>
      <c r="H9" s="18"/>
      <c r="I9" s="18"/>
    </row>
    <row r="10" spans="1:9" ht="15" customHeight="1">
      <c r="A10" s="1" t="s">
        <v>14</v>
      </c>
      <c r="B10" s="17">
        <v>0.38840000000000002</v>
      </c>
      <c r="C10" s="18"/>
      <c r="D10" s="18"/>
      <c r="E10" s="18"/>
      <c r="F10" s="18"/>
      <c r="G10" s="18"/>
      <c r="H10" s="18"/>
      <c r="I10" s="18"/>
    </row>
    <row r="11" spans="1:9" ht="15" customHeight="1">
      <c r="A11" s="1" t="s">
        <v>15</v>
      </c>
      <c r="B11" s="17">
        <v>327</v>
      </c>
      <c r="C11" s="18"/>
      <c r="D11" s="18"/>
      <c r="E11" s="18"/>
      <c r="F11" s="18"/>
      <c r="G11" s="18"/>
      <c r="H11" s="18"/>
      <c r="I11" s="18"/>
    </row>
    <row r="12" spans="1:9" ht="15" customHeight="1">
      <c r="A12" s="1" t="s">
        <v>16</v>
      </c>
      <c r="B12" s="17">
        <v>1</v>
      </c>
      <c r="C12" s="18"/>
      <c r="D12" s="18"/>
      <c r="E12" s="18"/>
      <c r="F12" s="18"/>
      <c r="G12" s="18"/>
      <c r="H12" s="18"/>
      <c r="I12" s="18"/>
    </row>
    <row r="13" spans="1:9" ht="15" customHeight="1">
      <c r="A13" s="1" t="s">
        <v>104</v>
      </c>
      <c r="B13" s="17" t="s">
        <v>222</v>
      </c>
      <c r="C13" s="18"/>
      <c r="D13" s="18"/>
      <c r="E13" s="18"/>
      <c r="F13" s="18"/>
      <c r="G13" s="18"/>
      <c r="H13" s="18"/>
      <c r="I13" s="18"/>
    </row>
    <row r="14" spans="1:9" ht="15" customHeight="1">
      <c r="A14" s="1" t="s">
        <v>223</v>
      </c>
      <c r="B14" s="17" t="s">
        <v>224</v>
      </c>
      <c r="C14" s="18"/>
      <c r="D14" s="18"/>
      <c r="E14" s="18"/>
      <c r="F14" s="18"/>
      <c r="G14" s="18"/>
      <c r="H14" s="18"/>
      <c r="I14" s="18"/>
    </row>
    <row r="15" spans="1:9" ht="15" customHeight="1">
      <c r="A15" s="1" t="s">
        <v>21</v>
      </c>
      <c r="B15" s="17" t="s">
        <v>225</v>
      </c>
      <c r="C15" s="18"/>
      <c r="D15" s="18"/>
      <c r="E15" s="18"/>
      <c r="F15" s="18"/>
      <c r="G15" s="18"/>
      <c r="H15" s="18"/>
      <c r="I15" s="18"/>
    </row>
    <row r="16" spans="1:9" ht="30" customHeight="1">
      <c r="A16" s="1" t="s">
        <v>23</v>
      </c>
      <c r="B16" s="17" t="s">
        <v>24</v>
      </c>
      <c r="C16" s="18"/>
      <c r="D16" s="18"/>
      <c r="E16" s="18"/>
      <c r="F16" s="18"/>
      <c r="G16" s="18"/>
      <c r="H16" s="18"/>
      <c r="I16" s="18"/>
    </row>
    <row r="18" spans="1:9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31</v>
      </c>
      <c r="H18" s="2" t="s">
        <v>32</v>
      </c>
      <c r="I18" s="2" t="s">
        <v>33</v>
      </c>
    </row>
    <row r="19" spans="1:9">
      <c r="A19" s="3" t="s">
        <v>226</v>
      </c>
      <c r="B19" s="4"/>
      <c r="C19" s="4"/>
      <c r="D19" s="4"/>
      <c r="E19" s="4"/>
      <c r="F19" s="4"/>
      <c r="G19" s="4"/>
      <c r="H19" s="4"/>
      <c r="I19" s="4"/>
    </row>
    <row r="20" spans="1:9">
      <c r="A20" s="5" t="s">
        <v>35</v>
      </c>
      <c r="B20" s="5">
        <v>39</v>
      </c>
      <c r="C20" s="5">
        <v>41</v>
      </c>
      <c r="D20" s="5">
        <v>88</v>
      </c>
      <c r="E20" s="5">
        <f>327-B20-C20-D20</f>
        <v>159</v>
      </c>
      <c r="F20" s="6">
        <f>IFERROR(B20/(B20+C20),0)</f>
        <v>0.48749999999999999</v>
      </c>
      <c r="G20" s="6">
        <f>IFERROR(B20/(B20+D20),0)</f>
        <v>0.30708661417322836</v>
      </c>
      <c r="H20" s="6">
        <f>IFERROR(2*F20*G20/(F20+G20),0)</f>
        <v>0.37681159420289856</v>
      </c>
      <c r="I20" s="5"/>
    </row>
    <row r="21" spans="1:9">
      <c r="A21" s="7" t="s">
        <v>36</v>
      </c>
      <c r="B21" s="7">
        <v>93</v>
      </c>
      <c r="C21" s="7">
        <v>119</v>
      </c>
      <c r="D21" s="7">
        <v>34</v>
      </c>
      <c r="E21" s="7">
        <f>327-B21-C21-D21</f>
        <v>81</v>
      </c>
      <c r="F21" s="8">
        <f>IFERROR(B21/(B21+C21),0)</f>
        <v>0.43867924528301888</v>
      </c>
      <c r="G21" s="8">
        <f>IFERROR(B21/(B21+D21),0)</f>
        <v>0.73228346456692917</v>
      </c>
      <c r="H21" s="8">
        <f>IFERROR(2*F21*G21/(F21+G21),0)</f>
        <v>0.54867256637168138</v>
      </c>
      <c r="I21" s="5"/>
    </row>
    <row r="22" spans="1:9">
      <c r="A22" s="5" t="s">
        <v>37</v>
      </c>
      <c r="B22" s="5">
        <v>47</v>
      </c>
      <c r="C22" s="5">
        <v>65</v>
      </c>
      <c r="D22" s="5">
        <v>80</v>
      </c>
      <c r="E22" s="5">
        <f>327-B22-C22-D22</f>
        <v>135</v>
      </c>
      <c r="F22" s="6">
        <f>IFERROR(B22/(B22+C22),0)</f>
        <v>0.41964285714285715</v>
      </c>
      <c r="G22" s="6">
        <f>IFERROR(B22/(B22+D22),0)</f>
        <v>0.37007874015748032</v>
      </c>
      <c r="H22" s="6">
        <f>IFERROR(2*F22*G22/(F22+G22),0)</f>
        <v>0.3933054393305439</v>
      </c>
      <c r="I22" s="5"/>
    </row>
    <row r="23" spans="1:9">
      <c r="A23" s="3" t="s">
        <v>227</v>
      </c>
      <c r="B23" s="4"/>
      <c r="C23" s="4"/>
      <c r="D23" s="4"/>
      <c r="E23" s="4"/>
      <c r="F23" s="4"/>
      <c r="G23" s="4"/>
      <c r="H23" s="4"/>
      <c r="I23" s="4"/>
    </row>
    <row r="24" spans="1:9">
      <c r="A24" s="5" t="s">
        <v>39</v>
      </c>
      <c r="B24" s="5">
        <v>104</v>
      </c>
      <c r="C24" s="5">
        <v>130</v>
      </c>
      <c r="D24" s="5">
        <v>23</v>
      </c>
      <c r="E24" s="5">
        <f>327-B24-C24-D24</f>
        <v>70</v>
      </c>
      <c r="F24" s="6">
        <f>IFERROR(B24/(B24+C24),0)</f>
        <v>0.44444444444444442</v>
      </c>
      <c r="G24" s="6">
        <f>IFERROR(B24/(B24+D24),0)</f>
        <v>0.81889763779527558</v>
      </c>
      <c r="H24" s="6">
        <f>IFERROR(2*F24*G24/(F24+G24),0)</f>
        <v>0.5761772853185595</v>
      </c>
      <c r="I24" s="5"/>
    </row>
    <row r="25" spans="1:9">
      <c r="A25" s="5" t="s">
        <v>48</v>
      </c>
      <c r="B25" s="5">
        <v>86</v>
      </c>
      <c r="C25" s="5">
        <v>105</v>
      </c>
      <c r="D25" s="5">
        <v>41</v>
      </c>
      <c r="E25" s="5">
        <f>327-B25-C25-D25</f>
        <v>95</v>
      </c>
      <c r="F25" s="6">
        <f>IFERROR(B25/(B25+C25),0)</f>
        <v>0.45026178010471202</v>
      </c>
      <c r="G25" s="6">
        <f>IFERROR(B25/(B25+D25),0)</f>
        <v>0.67716535433070868</v>
      </c>
      <c r="H25" s="6">
        <f>IFERROR(2*F25*G25/(F25+G25),0)</f>
        <v>0.54088050314465408</v>
      </c>
      <c r="I25" s="5"/>
    </row>
    <row r="26" spans="1:9">
      <c r="A26" s="5" t="s">
        <v>56</v>
      </c>
      <c r="B26" s="5">
        <v>79</v>
      </c>
      <c r="C26" s="5">
        <v>103</v>
      </c>
      <c r="D26" s="5">
        <v>48</v>
      </c>
      <c r="E26" s="5">
        <f>327-B26-C26-D26</f>
        <v>97</v>
      </c>
      <c r="F26" s="6">
        <f>IFERROR(B26/(B26+C26),0)</f>
        <v>0.43406593406593408</v>
      </c>
      <c r="G26" s="6">
        <f>IFERROR(B26/(B26+D26),0)</f>
        <v>0.62204724409448819</v>
      </c>
      <c r="H26" s="6">
        <f>IFERROR(2*F26*G26/(F26+G26),0)</f>
        <v>0.51132686084142398</v>
      </c>
      <c r="I26" s="5"/>
    </row>
    <row r="27" spans="1:9">
      <c r="A27" s="7" t="s">
        <v>228</v>
      </c>
      <c r="B27" s="7">
        <v>83</v>
      </c>
      <c r="C27" s="7">
        <v>74</v>
      </c>
      <c r="D27" s="7">
        <v>44</v>
      </c>
      <c r="E27" s="7">
        <f>327-B27-C27-D27</f>
        <v>126</v>
      </c>
      <c r="F27" s="8">
        <f>IFERROR(B27/(B27+C27),0)</f>
        <v>0.5286624203821656</v>
      </c>
      <c r="G27" s="8">
        <f>IFERROR(B27/(B27+D27),0)</f>
        <v>0.65354330708661412</v>
      </c>
      <c r="H27" s="8">
        <f>IFERROR(2*F27*G27/(F27+G27),0)</f>
        <v>0.58450704225352113</v>
      </c>
      <c r="I27" s="5" t="s">
        <v>229</v>
      </c>
    </row>
    <row r="28" spans="1:9">
      <c r="A28" s="3" t="s">
        <v>230</v>
      </c>
      <c r="B28" s="4"/>
      <c r="C28" s="4"/>
      <c r="D28" s="4"/>
      <c r="E28" s="4"/>
      <c r="F28" s="4"/>
      <c r="G28" s="4"/>
      <c r="H28" s="4"/>
      <c r="I28" s="4"/>
    </row>
    <row r="29" spans="1:9">
      <c r="A29" s="5" t="s">
        <v>64</v>
      </c>
      <c r="B29" s="5">
        <v>56</v>
      </c>
      <c r="C29" s="5">
        <v>66</v>
      </c>
      <c r="D29" s="5">
        <v>71</v>
      </c>
      <c r="E29" s="5">
        <f>327-B29-C29-D29</f>
        <v>134</v>
      </c>
      <c r="F29" s="6">
        <f>IFERROR(B29/(B29+C29),0)</f>
        <v>0.45901639344262296</v>
      </c>
      <c r="G29" s="6">
        <f>IFERROR(B29/(B29+D29),0)</f>
        <v>0.44094488188976377</v>
      </c>
      <c r="H29" s="6">
        <f>IFERROR(2*F29*G29/(F29+G29),0)</f>
        <v>0.44979919678714864</v>
      </c>
      <c r="I29" s="5" t="s">
        <v>231</v>
      </c>
    </row>
    <row r="30" spans="1:9">
      <c r="A30" s="7" t="s">
        <v>65</v>
      </c>
      <c r="B30" s="7">
        <v>96</v>
      </c>
      <c r="C30" s="7">
        <v>115</v>
      </c>
      <c r="D30" s="7">
        <v>31</v>
      </c>
      <c r="E30" s="7">
        <f>327-B30-C30-D30</f>
        <v>85</v>
      </c>
      <c r="F30" s="8">
        <f>IFERROR(B30/(B30+C30),0)</f>
        <v>0.45497630331753552</v>
      </c>
      <c r="G30" s="8">
        <f>IFERROR(B30/(B30+D30),0)</f>
        <v>0.75590551181102361</v>
      </c>
      <c r="H30" s="8">
        <f>IFERROR(2*F30*G30/(F30+G30),0)</f>
        <v>0.56804733727810641</v>
      </c>
      <c r="I30" s="5" t="s">
        <v>232</v>
      </c>
    </row>
    <row r="31" spans="1:9">
      <c r="A31" s="3" t="s">
        <v>233</v>
      </c>
      <c r="B31" s="4"/>
      <c r="C31" s="4"/>
      <c r="D31" s="4"/>
      <c r="E31" s="4"/>
      <c r="F31" s="4"/>
      <c r="G31" s="4"/>
      <c r="H31" s="4"/>
      <c r="I31" s="4"/>
    </row>
    <row r="32" spans="1:9">
      <c r="A32" s="7" t="s">
        <v>216</v>
      </c>
      <c r="B32" s="7">
        <v>96</v>
      </c>
      <c r="C32" s="7">
        <v>120</v>
      </c>
      <c r="D32" s="7">
        <v>31</v>
      </c>
      <c r="E32" s="7">
        <f>327-B32-C32-D32</f>
        <v>80</v>
      </c>
      <c r="F32" s="8">
        <f>IFERROR(B32/(B32+C32),0)</f>
        <v>0.44444444444444442</v>
      </c>
      <c r="G32" s="8">
        <f>IFERROR(B32/(B32+D32),0)</f>
        <v>0.75590551181102361</v>
      </c>
      <c r="H32" s="8">
        <f>IFERROR(2*F32*G32/(F32+G32),0)</f>
        <v>0.55976676384839652</v>
      </c>
      <c r="I32" s="5" t="s">
        <v>234</v>
      </c>
    </row>
    <row r="33" spans="1:9">
      <c r="A33" s="7" t="s">
        <v>218</v>
      </c>
      <c r="B33" s="7">
        <v>111</v>
      </c>
      <c r="C33" s="7">
        <v>157</v>
      </c>
      <c r="D33" s="7">
        <v>16</v>
      </c>
      <c r="E33" s="7">
        <f>327-B33-C33-D33</f>
        <v>43</v>
      </c>
      <c r="F33" s="8">
        <f>IFERROR(B33/(B33+C33),0)</f>
        <v>0.41417910447761191</v>
      </c>
      <c r="G33" s="8">
        <f>IFERROR(B33/(B33+D33),0)</f>
        <v>0.87401574803149606</v>
      </c>
      <c r="H33" s="8">
        <f>IFERROR(2*F33*G33/(F33+G33),0)</f>
        <v>0.5620253164556962</v>
      </c>
      <c r="I33" s="5" t="s">
        <v>234</v>
      </c>
    </row>
    <row r="34" spans="1:9">
      <c r="A34" s="3" t="s">
        <v>235</v>
      </c>
      <c r="B34" s="4"/>
      <c r="C34" s="4"/>
      <c r="D34" s="4"/>
      <c r="E34" s="4"/>
      <c r="F34" s="4"/>
      <c r="G34" s="4"/>
      <c r="H34" s="4"/>
      <c r="I34" s="4"/>
    </row>
    <row r="35" spans="1:9">
      <c r="A35" s="7" t="s">
        <v>236</v>
      </c>
      <c r="B35" s="7">
        <v>110</v>
      </c>
      <c r="C35" s="7">
        <v>152</v>
      </c>
      <c r="D35" s="7">
        <v>17</v>
      </c>
      <c r="E35" s="7">
        <f>327-B35-C35-D35</f>
        <v>48</v>
      </c>
      <c r="F35" s="8">
        <f>IFERROR(B35/(B35+C35),0)</f>
        <v>0.41984732824427479</v>
      </c>
      <c r="G35" s="8">
        <f>IFERROR(B35/(B35+D35),0)</f>
        <v>0.86614173228346458</v>
      </c>
      <c r="H35" s="8">
        <f>IFERROR(2*F35*G35/(F35+G35),0)</f>
        <v>0.56555269922879181</v>
      </c>
      <c r="I35" s="5"/>
    </row>
    <row r="36" spans="1:9">
      <c r="A36" s="7" t="s">
        <v>237</v>
      </c>
      <c r="B36" s="7">
        <v>87</v>
      </c>
      <c r="C36" s="7">
        <v>97</v>
      </c>
      <c r="D36" s="7">
        <v>40</v>
      </c>
      <c r="E36" s="7">
        <f>327-B36-C36-D36</f>
        <v>103</v>
      </c>
      <c r="F36" s="8">
        <f>IFERROR(B36/(B36+C36),0)</f>
        <v>0.47282608695652173</v>
      </c>
      <c r="G36" s="8">
        <f>IFERROR(B36/(B36+D36),0)</f>
        <v>0.68503937007874016</v>
      </c>
      <c r="H36" s="8">
        <f>IFERROR(2*F36*G36/(F36+G36),0)</f>
        <v>0.55948553054662387</v>
      </c>
      <c r="I36" s="5"/>
    </row>
  </sheetData>
  <mergeCells count="16">
    <mergeCell ref="B1:I1"/>
    <mergeCell ref="B8:I8"/>
    <mergeCell ref="B4:I4"/>
    <mergeCell ref="B6:I6"/>
    <mergeCell ref="B2:I2"/>
    <mergeCell ref="B16:I16"/>
    <mergeCell ref="B10:I10"/>
    <mergeCell ref="B3:I3"/>
    <mergeCell ref="B5:I5"/>
    <mergeCell ref="B14:I14"/>
    <mergeCell ref="B9:I9"/>
    <mergeCell ref="B12:I12"/>
    <mergeCell ref="B13:I13"/>
    <mergeCell ref="B15:I15"/>
    <mergeCell ref="B7:I7"/>
    <mergeCell ref="B11:I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"/>
  <sheetViews>
    <sheetView workbookViewId="0"/>
  </sheetViews>
  <sheetFormatPr defaultRowHeight="14.35"/>
  <cols>
    <col min="1" max="1" width="34" customWidth="1"/>
    <col min="2" max="5" width="7" customWidth="1"/>
    <col min="6" max="8" width="8" customWidth="1"/>
    <col min="9" max="9" width="70" customWidth="1"/>
  </cols>
  <sheetData>
    <row r="1" spans="1:9" ht="15" customHeight="1">
      <c r="A1" s="1" t="s">
        <v>0</v>
      </c>
      <c r="B1" s="17" t="s">
        <v>238</v>
      </c>
      <c r="C1" s="18"/>
      <c r="D1" s="18"/>
      <c r="E1" s="18"/>
      <c r="F1" s="18"/>
      <c r="G1" s="18"/>
      <c r="H1" s="18"/>
      <c r="I1" s="18"/>
    </row>
    <row r="2" spans="1:9" ht="15" customHeight="1">
      <c r="A2" s="1" t="s">
        <v>2</v>
      </c>
      <c r="B2" s="19" t="s">
        <v>239</v>
      </c>
      <c r="C2" s="18"/>
      <c r="D2" s="18"/>
      <c r="E2" s="18"/>
      <c r="F2" s="18"/>
      <c r="G2" s="18"/>
      <c r="H2" s="18"/>
      <c r="I2" s="18"/>
    </row>
    <row r="3" spans="1:9" ht="15" customHeight="1">
      <c r="A3" s="1" t="s">
        <v>4</v>
      </c>
      <c r="B3" s="17" t="s">
        <v>240</v>
      </c>
      <c r="C3" s="18"/>
      <c r="D3" s="18"/>
      <c r="E3" s="18"/>
      <c r="F3" s="18"/>
      <c r="G3" s="18"/>
      <c r="H3" s="18"/>
      <c r="I3" s="18"/>
    </row>
    <row r="4" spans="1:9" ht="15" customHeight="1">
      <c r="A4" s="1" t="s">
        <v>6</v>
      </c>
      <c r="B4" s="17" t="s">
        <v>241</v>
      </c>
      <c r="C4" s="18"/>
      <c r="D4" s="18"/>
      <c r="E4" s="18"/>
      <c r="F4" s="18"/>
      <c r="G4" s="18"/>
      <c r="H4" s="18"/>
      <c r="I4" s="18"/>
    </row>
    <row r="5" spans="1:9" ht="15" customHeight="1">
      <c r="A5" s="1" t="s">
        <v>8</v>
      </c>
      <c r="B5" s="17" t="s">
        <v>242</v>
      </c>
      <c r="C5" s="18"/>
      <c r="D5" s="18"/>
      <c r="E5" s="18"/>
      <c r="F5" s="18"/>
      <c r="G5" s="18"/>
      <c r="H5" s="18"/>
      <c r="I5" s="18"/>
    </row>
    <row r="6" spans="1:9" ht="15" customHeight="1">
      <c r="A6" s="1" t="s">
        <v>10</v>
      </c>
      <c r="B6" s="17">
        <v>25</v>
      </c>
      <c r="C6" s="18"/>
      <c r="D6" s="18"/>
      <c r="E6" s="18"/>
      <c r="F6" s="18"/>
      <c r="G6" s="18"/>
      <c r="H6" s="18"/>
      <c r="I6" s="18"/>
    </row>
    <row r="7" spans="1:9" ht="15" customHeight="1">
      <c r="A7" s="1" t="s">
        <v>11</v>
      </c>
      <c r="B7" s="17">
        <v>327</v>
      </c>
      <c r="C7" s="18"/>
      <c r="D7" s="18"/>
      <c r="E7" s="18"/>
      <c r="F7" s="18"/>
      <c r="G7" s="18"/>
      <c r="H7" s="18"/>
      <c r="I7" s="18"/>
    </row>
    <row r="8" spans="1:9" ht="15" customHeight="1">
      <c r="A8" s="1" t="s">
        <v>12</v>
      </c>
      <c r="B8" s="17">
        <v>15</v>
      </c>
      <c r="C8" s="18"/>
      <c r="D8" s="18"/>
      <c r="E8" s="18"/>
      <c r="F8" s="18"/>
      <c r="G8" s="18"/>
      <c r="H8" s="18"/>
      <c r="I8" s="18"/>
    </row>
    <row r="9" spans="1:9" ht="15" customHeight="1">
      <c r="A9" s="1" t="s">
        <v>13</v>
      </c>
      <c r="B9" s="17">
        <v>312</v>
      </c>
      <c r="C9" s="18"/>
      <c r="D9" s="18"/>
      <c r="E9" s="18"/>
      <c r="F9" s="18"/>
      <c r="G9" s="18"/>
      <c r="H9" s="18"/>
      <c r="I9" s="18"/>
    </row>
    <row r="10" spans="1:9" ht="15" customHeight="1">
      <c r="A10" s="1" t="s">
        <v>14</v>
      </c>
      <c r="B10" s="17">
        <v>4.5900000000000003E-2</v>
      </c>
      <c r="C10" s="18"/>
      <c r="D10" s="18"/>
      <c r="E10" s="18"/>
      <c r="F10" s="18"/>
      <c r="G10" s="18"/>
      <c r="H10" s="18"/>
      <c r="I10" s="18"/>
    </row>
    <row r="11" spans="1:9" ht="15" customHeight="1">
      <c r="A11" s="1" t="s">
        <v>15</v>
      </c>
      <c r="B11" s="17">
        <v>327</v>
      </c>
      <c r="C11" s="18"/>
      <c r="D11" s="18"/>
      <c r="E11" s="18"/>
      <c r="F11" s="18"/>
      <c r="G11" s="18"/>
      <c r="H11" s="18"/>
      <c r="I11" s="18"/>
    </row>
    <row r="12" spans="1:9" ht="15" customHeight="1">
      <c r="A12" s="1" t="s">
        <v>16</v>
      </c>
      <c r="B12" s="17">
        <v>1</v>
      </c>
      <c r="C12" s="18"/>
      <c r="D12" s="18"/>
      <c r="E12" s="18"/>
      <c r="F12" s="18"/>
      <c r="G12" s="18"/>
      <c r="H12" s="18"/>
      <c r="I12" s="18"/>
    </row>
    <row r="13" spans="1:9" ht="15" customHeight="1">
      <c r="A13" s="1" t="s">
        <v>104</v>
      </c>
      <c r="B13" s="17" t="s">
        <v>105</v>
      </c>
      <c r="C13" s="18"/>
      <c r="D13" s="18"/>
      <c r="E13" s="18"/>
      <c r="F13" s="18"/>
      <c r="G13" s="18"/>
      <c r="H13" s="18"/>
      <c r="I13" s="18"/>
    </row>
    <row r="14" spans="1:9" ht="15" customHeight="1">
      <c r="A14" s="1" t="s">
        <v>243</v>
      </c>
      <c r="B14" s="17" t="s">
        <v>244</v>
      </c>
      <c r="C14" s="18"/>
      <c r="D14" s="18"/>
      <c r="E14" s="18"/>
      <c r="F14" s="18"/>
      <c r="G14" s="18"/>
      <c r="H14" s="18"/>
      <c r="I14" s="18"/>
    </row>
    <row r="15" spans="1:9" ht="15" customHeight="1">
      <c r="A15" s="1" t="s">
        <v>21</v>
      </c>
      <c r="B15" s="17" t="s">
        <v>245</v>
      </c>
      <c r="C15" s="18"/>
      <c r="D15" s="18"/>
      <c r="E15" s="18"/>
      <c r="F15" s="18"/>
      <c r="G15" s="18"/>
      <c r="H15" s="18"/>
      <c r="I15" s="18"/>
    </row>
    <row r="16" spans="1:9" ht="30" customHeight="1">
      <c r="A16" s="1" t="s">
        <v>246</v>
      </c>
      <c r="B16" s="17" t="s">
        <v>247</v>
      </c>
      <c r="C16" s="18"/>
      <c r="D16" s="18"/>
      <c r="E16" s="18"/>
      <c r="F16" s="18"/>
      <c r="G16" s="18"/>
      <c r="H16" s="18"/>
      <c r="I16" s="18"/>
    </row>
    <row r="17" spans="1:9" ht="30" customHeight="1">
      <c r="A17" s="1" t="s">
        <v>23</v>
      </c>
      <c r="B17" s="17" t="s">
        <v>24</v>
      </c>
      <c r="C17" s="18"/>
      <c r="D17" s="18"/>
      <c r="E17" s="18"/>
      <c r="F17" s="18"/>
      <c r="G17" s="18"/>
      <c r="H17" s="18"/>
      <c r="I17" s="18"/>
    </row>
    <row r="19" spans="1: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31</v>
      </c>
      <c r="H19" s="2" t="s">
        <v>32</v>
      </c>
      <c r="I19" s="2" t="s">
        <v>33</v>
      </c>
    </row>
    <row r="20" spans="1:9">
      <c r="A20" s="3" t="s">
        <v>248</v>
      </c>
      <c r="B20" s="4"/>
      <c r="C20" s="4"/>
      <c r="D20" s="4"/>
      <c r="E20" s="4"/>
      <c r="F20" s="4"/>
      <c r="G20" s="4"/>
      <c r="H20" s="4"/>
      <c r="I20" s="4"/>
    </row>
    <row r="21" spans="1:9">
      <c r="A21" s="5" t="s">
        <v>249</v>
      </c>
      <c r="B21" s="5">
        <v>2</v>
      </c>
      <c r="C21" s="5">
        <v>18</v>
      </c>
      <c r="D21" s="5">
        <v>13</v>
      </c>
      <c r="E21" s="5">
        <f>327-B21-C21-D21</f>
        <v>294</v>
      </c>
      <c r="F21" s="6">
        <f>IFERROR(B21/(B21+C21),0)</f>
        <v>0.1</v>
      </c>
      <c r="G21" s="6">
        <f>IFERROR(B21/(B21+D21),0)</f>
        <v>0.13333333333333333</v>
      </c>
      <c r="H21" s="6">
        <f>IFERROR(2*F21*G21/(F21+G21),0)</f>
        <v>0.1142857142857143</v>
      </c>
      <c r="I21" s="5"/>
    </row>
    <row r="22" spans="1:9">
      <c r="A22" s="5" t="s">
        <v>250</v>
      </c>
      <c r="B22" s="5">
        <v>3</v>
      </c>
      <c r="C22" s="5">
        <v>75</v>
      </c>
      <c r="D22" s="5">
        <v>12</v>
      </c>
      <c r="E22" s="5">
        <f>327-B22-C22-D22</f>
        <v>237</v>
      </c>
      <c r="F22" s="6">
        <f>IFERROR(B22/(B22+C22),0)</f>
        <v>3.8461538461538464E-2</v>
      </c>
      <c r="G22" s="6">
        <f>IFERROR(B22/(B22+D22),0)</f>
        <v>0.2</v>
      </c>
      <c r="H22" s="6">
        <f>IFERROR(2*F22*G22/(F22+G22),0)</f>
        <v>6.4516129032258063E-2</v>
      </c>
      <c r="I22" s="5"/>
    </row>
    <row r="23" spans="1:9">
      <c r="A23" s="7" t="s">
        <v>251</v>
      </c>
      <c r="B23" s="7">
        <v>8</v>
      </c>
      <c r="C23" s="7">
        <v>53</v>
      </c>
      <c r="D23" s="7">
        <v>7</v>
      </c>
      <c r="E23" s="7">
        <f>327-B23-C23-D23</f>
        <v>259</v>
      </c>
      <c r="F23" s="8">
        <f>IFERROR(B23/(B23+C23),0)</f>
        <v>0.13114754098360656</v>
      </c>
      <c r="G23" s="8">
        <f>IFERROR(B23/(B23+D23),0)</f>
        <v>0.53333333333333333</v>
      </c>
      <c r="H23" s="8">
        <f>IFERROR(2*F23*G23/(F23+G23),0)</f>
        <v>0.21052631578947367</v>
      </c>
      <c r="I23" s="5"/>
    </row>
    <row r="24" spans="1:9">
      <c r="A24" s="3" t="s">
        <v>252</v>
      </c>
      <c r="B24" s="4"/>
      <c r="C24" s="4"/>
      <c r="D24" s="4"/>
      <c r="E24" s="4"/>
      <c r="F24" s="4"/>
      <c r="G24" s="4"/>
      <c r="H24" s="4"/>
      <c r="I24" s="4"/>
    </row>
    <row r="25" spans="1:9">
      <c r="A25" s="5" t="s">
        <v>253</v>
      </c>
      <c r="B25" s="5">
        <v>9</v>
      </c>
      <c r="C25" s="5">
        <v>119</v>
      </c>
      <c r="D25" s="5">
        <v>6</v>
      </c>
      <c r="E25" s="5">
        <f>327-B25-C25-D25</f>
        <v>193</v>
      </c>
      <c r="F25" s="6">
        <f>IFERROR(B25/(B25+C25),0)</f>
        <v>7.03125E-2</v>
      </c>
      <c r="G25" s="6">
        <f>IFERROR(B25/(B25+D25),0)</f>
        <v>0.6</v>
      </c>
      <c r="H25" s="6">
        <f>IFERROR(2*F25*G25/(F25+G25),0)</f>
        <v>0.12587412587412586</v>
      </c>
      <c r="I25" s="5"/>
    </row>
    <row r="26" spans="1:9">
      <c r="A26" s="5" t="s">
        <v>254</v>
      </c>
      <c r="B26" s="5">
        <v>3</v>
      </c>
      <c r="C26" s="5">
        <v>25</v>
      </c>
      <c r="D26" s="5">
        <v>12</v>
      </c>
      <c r="E26" s="5">
        <f>327-B26-C26-D26</f>
        <v>287</v>
      </c>
      <c r="F26" s="6">
        <f>IFERROR(B26/(B26+C26),0)</f>
        <v>0.10714285714285714</v>
      </c>
      <c r="G26" s="6">
        <f>IFERROR(B26/(B26+D26),0)</f>
        <v>0.2</v>
      </c>
      <c r="H26" s="6">
        <f>IFERROR(2*F26*G26/(F26+G26),0)</f>
        <v>0.13953488372093023</v>
      </c>
      <c r="I26" s="5"/>
    </row>
    <row r="27" spans="1:9">
      <c r="A27" s="7" t="s">
        <v>255</v>
      </c>
      <c r="B27" s="7">
        <v>12</v>
      </c>
      <c r="C27" s="7">
        <v>105</v>
      </c>
      <c r="D27" s="7">
        <v>3</v>
      </c>
      <c r="E27" s="7">
        <f>327-B27-C27-D27</f>
        <v>207</v>
      </c>
      <c r="F27" s="8">
        <f>IFERROR(B27/(B27+C27),0)</f>
        <v>0.10256410256410256</v>
      </c>
      <c r="G27" s="8">
        <f>IFERROR(B27/(B27+D27),0)</f>
        <v>0.8</v>
      </c>
      <c r="H27" s="8">
        <f>IFERROR(2*F27*G27/(F27+G27),0)</f>
        <v>0.18181818181818182</v>
      </c>
      <c r="I27" s="5"/>
    </row>
    <row r="28" spans="1:9">
      <c r="A28" s="5" t="s">
        <v>256</v>
      </c>
      <c r="B28" s="5" t="s">
        <v>208</v>
      </c>
      <c r="C28" s="5"/>
      <c r="D28" s="5"/>
      <c r="E28" s="5"/>
      <c r="F28" s="5"/>
      <c r="G28" s="5"/>
      <c r="H28" s="5"/>
      <c r="I28" s="5" t="s">
        <v>257</v>
      </c>
    </row>
    <row r="29" spans="1:9">
      <c r="A29" s="3" t="s">
        <v>258</v>
      </c>
      <c r="B29" s="4"/>
      <c r="C29" s="4"/>
      <c r="D29" s="4"/>
      <c r="E29" s="4"/>
      <c r="F29" s="4"/>
      <c r="G29" s="4"/>
      <c r="H29" s="4"/>
      <c r="I29" s="4"/>
    </row>
    <row r="30" spans="1:9">
      <c r="A30" s="7" t="s">
        <v>64</v>
      </c>
      <c r="B30" s="7">
        <v>5</v>
      </c>
      <c r="C30" s="7">
        <v>37</v>
      </c>
      <c r="D30" s="7">
        <v>10</v>
      </c>
      <c r="E30" s="7">
        <f>327-B30-C30-D30</f>
        <v>275</v>
      </c>
      <c r="F30" s="8">
        <f>IFERROR(B30/(B30+C30),0)</f>
        <v>0.11904761904761904</v>
      </c>
      <c r="G30" s="8">
        <f>IFERROR(B30/(B30+D30),0)</f>
        <v>0.33333333333333331</v>
      </c>
      <c r="H30" s="8">
        <f>IFERROR(2*F30*G30/(F30+G30),0)</f>
        <v>0.17543859649122809</v>
      </c>
      <c r="I30" s="5"/>
    </row>
    <row r="31" spans="1:9">
      <c r="A31" s="5" t="s">
        <v>259</v>
      </c>
      <c r="B31" s="5">
        <v>9</v>
      </c>
      <c r="C31" s="5">
        <v>87</v>
      </c>
      <c r="D31" s="5">
        <v>6</v>
      </c>
      <c r="E31" s="5">
        <f>327-B31-C31-D31</f>
        <v>225</v>
      </c>
      <c r="F31" s="6">
        <f>IFERROR(B31/(B31+C31),0)</f>
        <v>9.375E-2</v>
      </c>
      <c r="G31" s="6">
        <f>IFERROR(B31/(B31+D31),0)</f>
        <v>0.6</v>
      </c>
      <c r="H31" s="6">
        <f>IFERROR(2*F31*G31/(F31+G31),0)</f>
        <v>0.16216216216216214</v>
      </c>
      <c r="I31" s="5"/>
    </row>
    <row r="32" spans="1:9">
      <c r="A32" s="3" t="s">
        <v>260</v>
      </c>
      <c r="B32" s="4"/>
      <c r="C32" s="4"/>
      <c r="D32" s="4"/>
      <c r="E32" s="4"/>
      <c r="F32" s="4"/>
      <c r="G32" s="4"/>
      <c r="H32" s="4"/>
      <c r="I32" s="4"/>
    </row>
    <row r="33" spans="1:9">
      <c r="A33" s="7" t="s">
        <v>216</v>
      </c>
      <c r="B33" s="7">
        <v>9</v>
      </c>
      <c r="C33" s="7">
        <v>90</v>
      </c>
      <c r="D33" s="7">
        <v>6</v>
      </c>
      <c r="E33" s="7">
        <f>327-B33-C33-D33</f>
        <v>222</v>
      </c>
      <c r="F33" s="8">
        <f>IFERROR(B33/(B33+C33),0)</f>
        <v>9.0909090909090912E-2</v>
      </c>
      <c r="G33" s="8">
        <f>IFERROR(B33/(B33+D33),0)</f>
        <v>0.6</v>
      </c>
      <c r="H33" s="8">
        <f>IFERROR(2*F33*G33/(F33+G33),0)</f>
        <v>0.15789473684210525</v>
      </c>
      <c r="I33" s="5" t="s">
        <v>261</v>
      </c>
    </row>
    <row r="34" spans="1:9">
      <c r="A34" s="7" t="s">
        <v>218</v>
      </c>
      <c r="B34" s="7">
        <v>13</v>
      </c>
      <c r="C34" s="7">
        <v>143</v>
      </c>
      <c r="D34" s="7">
        <v>2</v>
      </c>
      <c r="E34" s="7">
        <f>327-B34-C34-D34</f>
        <v>169</v>
      </c>
      <c r="F34" s="8">
        <f>IFERROR(B34/(B34+C34),0)</f>
        <v>8.3333333333333329E-2</v>
      </c>
      <c r="G34" s="8">
        <f>IFERROR(B34/(B34+D34),0)</f>
        <v>0.8666666666666667</v>
      </c>
      <c r="H34" s="8">
        <f>IFERROR(2*F34*G34/(F34+G34),0)</f>
        <v>0.15204678362573096</v>
      </c>
      <c r="I34" s="5" t="s">
        <v>261</v>
      </c>
    </row>
    <row r="35" spans="1:9">
      <c r="A35" s="3" t="s">
        <v>262</v>
      </c>
      <c r="B35" s="4"/>
      <c r="C35" s="4"/>
      <c r="D35" s="4"/>
      <c r="E35" s="4"/>
      <c r="F35" s="4"/>
      <c r="G35" s="4"/>
      <c r="H35" s="4"/>
      <c r="I35" s="4"/>
    </row>
    <row r="36" spans="1:9">
      <c r="A36" s="7" t="s">
        <v>263</v>
      </c>
      <c r="B36" s="7">
        <v>9</v>
      </c>
      <c r="C36" s="7">
        <v>142</v>
      </c>
      <c r="D36" s="7">
        <v>6</v>
      </c>
      <c r="E36" s="7">
        <f>327-B36-C36-D36</f>
        <v>170</v>
      </c>
      <c r="F36" s="8">
        <f>IFERROR(B36/(B36+C36),0)</f>
        <v>5.9602649006622516E-2</v>
      </c>
      <c r="G36" s="8">
        <f>IFERROR(B36/(B36+D36),0)</f>
        <v>0.6</v>
      </c>
      <c r="H36" s="8">
        <f>IFERROR(2*F36*G36/(F36+G36),0)</f>
        <v>0.10843373493975905</v>
      </c>
      <c r="I36" s="5"/>
    </row>
    <row r="37" spans="1:9">
      <c r="A37" s="7" t="s">
        <v>264</v>
      </c>
      <c r="B37" s="7">
        <v>3</v>
      </c>
      <c r="C37" s="7">
        <v>52</v>
      </c>
      <c r="D37" s="7">
        <v>12</v>
      </c>
      <c r="E37" s="7">
        <f>327-B37-C37-D37</f>
        <v>260</v>
      </c>
      <c r="F37" s="8">
        <f>IFERROR(B37/(B37+C37),0)</f>
        <v>5.4545454545454543E-2</v>
      </c>
      <c r="G37" s="8">
        <f>IFERROR(B37/(B37+D37),0)</f>
        <v>0.2</v>
      </c>
      <c r="H37" s="8">
        <f>IFERROR(2*F37*G37/(F37+G37),0)</f>
        <v>8.5714285714285715E-2</v>
      </c>
      <c r="I37" s="5"/>
    </row>
  </sheetData>
  <mergeCells count="17">
    <mergeCell ref="B1:I1"/>
    <mergeCell ref="B8:I8"/>
    <mergeCell ref="B4:I4"/>
    <mergeCell ref="B17:I17"/>
    <mergeCell ref="B6:I6"/>
    <mergeCell ref="B2:I2"/>
    <mergeCell ref="B16:I16"/>
    <mergeCell ref="B10:I10"/>
    <mergeCell ref="B3:I3"/>
    <mergeCell ref="B5:I5"/>
    <mergeCell ref="B14:I14"/>
    <mergeCell ref="B9:I9"/>
    <mergeCell ref="B12:I12"/>
    <mergeCell ref="B13:I13"/>
    <mergeCell ref="B15:I15"/>
    <mergeCell ref="B7:I7"/>
    <mergeCell ref="B11:I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7"/>
  <sheetViews>
    <sheetView workbookViewId="0"/>
  </sheetViews>
  <sheetFormatPr defaultRowHeight="14.35"/>
  <cols>
    <col min="1" max="1" width="34" customWidth="1"/>
    <col min="2" max="5" width="7" customWidth="1"/>
    <col min="6" max="8" width="8" customWidth="1"/>
    <col min="9" max="9" width="70" customWidth="1"/>
  </cols>
  <sheetData>
    <row r="1" spans="1:9" ht="15" customHeight="1">
      <c r="A1" s="1" t="s">
        <v>0</v>
      </c>
      <c r="B1" s="17" t="s">
        <v>265</v>
      </c>
      <c r="C1" s="18"/>
      <c r="D1" s="18"/>
      <c r="E1" s="18"/>
      <c r="F1" s="18"/>
      <c r="G1" s="18"/>
      <c r="H1" s="18"/>
      <c r="I1" s="18"/>
    </row>
    <row r="2" spans="1:9" ht="15" customHeight="1">
      <c r="A2" s="1" t="s">
        <v>2</v>
      </c>
      <c r="B2" s="19" t="s">
        <v>266</v>
      </c>
      <c r="C2" s="18"/>
      <c r="D2" s="18"/>
      <c r="E2" s="18"/>
      <c r="F2" s="18"/>
      <c r="G2" s="18"/>
      <c r="H2" s="18"/>
      <c r="I2" s="18"/>
    </row>
    <row r="3" spans="1:9" ht="15" customHeight="1">
      <c r="A3" s="1" t="s">
        <v>4</v>
      </c>
      <c r="B3" s="17" t="s">
        <v>267</v>
      </c>
      <c r="C3" s="18"/>
      <c r="D3" s="18"/>
      <c r="E3" s="18"/>
      <c r="F3" s="18"/>
      <c r="G3" s="18"/>
      <c r="H3" s="18"/>
      <c r="I3" s="18"/>
    </row>
    <row r="4" spans="1:9" ht="15" customHeight="1">
      <c r="A4" s="1" t="s">
        <v>6</v>
      </c>
      <c r="B4" s="17" t="s">
        <v>241</v>
      </c>
      <c r="C4" s="18"/>
      <c r="D4" s="18"/>
      <c r="E4" s="18"/>
      <c r="F4" s="18"/>
      <c r="G4" s="18"/>
      <c r="H4" s="18"/>
      <c r="I4" s="18"/>
    </row>
    <row r="5" spans="1:9" ht="15" customHeight="1">
      <c r="A5" s="1" t="s">
        <v>8</v>
      </c>
      <c r="B5" s="17" t="s">
        <v>242</v>
      </c>
      <c r="C5" s="18"/>
      <c r="D5" s="18"/>
      <c r="E5" s="18"/>
      <c r="F5" s="18"/>
      <c r="G5" s="18"/>
      <c r="H5" s="18"/>
      <c r="I5" s="18"/>
    </row>
    <row r="6" spans="1:9" ht="15" customHeight="1">
      <c r="A6" s="1" t="s">
        <v>10</v>
      </c>
      <c r="B6" s="17">
        <v>25</v>
      </c>
      <c r="C6" s="18"/>
      <c r="D6" s="18"/>
      <c r="E6" s="18"/>
      <c r="F6" s="18"/>
      <c r="G6" s="18"/>
      <c r="H6" s="18"/>
      <c r="I6" s="18"/>
    </row>
    <row r="7" spans="1:9" ht="15" customHeight="1">
      <c r="A7" s="1" t="s">
        <v>11</v>
      </c>
      <c r="B7" s="17">
        <v>327</v>
      </c>
      <c r="C7" s="18"/>
      <c r="D7" s="18"/>
      <c r="E7" s="18"/>
      <c r="F7" s="18"/>
      <c r="G7" s="18"/>
      <c r="H7" s="18"/>
      <c r="I7" s="18"/>
    </row>
    <row r="8" spans="1:9" ht="15" customHeight="1">
      <c r="A8" s="1" t="s">
        <v>12</v>
      </c>
      <c r="B8" s="17">
        <v>49</v>
      </c>
      <c r="C8" s="18"/>
      <c r="D8" s="18"/>
      <c r="E8" s="18"/>
      <c r="F8" s="18"/>
      <c r="G8" s="18"/>
      <c r="H8" s="18"/>
      <c r="I8" s="18"/>
    </row>
    <row r="9" spans="1:9" ht="15" customHeight="1">
      <c r="A9" s="1" t="s">
        <v>13</v>
      </c>
      <c r="B9" s="17">
        <v>278</v>
      </c>
      <c r="C9" s="18"/>
      <c r="D9" s="18"/>
      <c r="E9" s="18"/>
      <c r="F9" s="18"/>
      <c r="G9" s="18"/>
      <c r="H9" s="18"/>
      <c r="I9" s="18"/>
    </row>
    <row r="10" spans="1:9" ht="15" customHeight="1">
      <c r="A10" s="1" t="s">
        <v>14</v>
      </c>
      <c r="B10" s="17">
        <v>0.14979999999999999</v>
      </c>
      <c r="C10" s="18"/>
      <c r="D10" s="18"/>
      <c r="E10" s="18"/>
      <c r="F10" s="18"/>
      <c r="G10" s="18"/>
      <c r="H10" s="18"/>
      <c r="I10" s="18"/>
    </row>
    <row r="11" spans="1:9" ht="15" customHeight="1">
      <c r="A11" s="1" t="s">
        <v>15</v>
      </c>
      <c r="B11" s="17">
        <v>327</v>
      </c>
      <c r="C11" s="18"/>
      <c r="D11" s="18"/>
      <c r="E11" s="18"/>
      <c r="F11" s="18"/>
      <c r="G11" s="18"/>
      <c r="H11" s="18"/>
      <c r="I11" s="18"/>
    </row>
    <row r="12" spans="1:9" ht="15" customHeight="1">
      <c r="A12" s="1" t="s">
        <v>16</v>
      </c>
      <c r="B12" s="17">
        <v>1</v>
      </c>
      <c r="C12" s="18"/>
      <c r="D12" s="18"/>
      <c r="E12" s="18"/>
      <c r="F12" s="18"/>
      <c r="G12" s="18"/>
      <c r="H12" s="18"/>
      <c r="I12" s="18"/>
    </row>
    <row r="13" spans="1:9" ht="15" customHeight="1">
      <c r="A13" s="1" t="s">
        <v>104</v>
      </c>
      <c r="B13" s="17" t="s">
        <v>105</v>
      </c>
      <c r="C13" s="18"/>
      <c r="D13" s="18"/>
      <c r="E13" s="18"/>
      <c r="F13" s="18"/>
      <c r="G13" s="18"/>
      <c r="H13" s="18"/>
      <c r="I13" s="18"/>
    </row>
    <row r="14" spans="1:9" ht="15" customHeight="1">
      <c r="A14" s="1" t="s">
        <v>243</v>
      </c>
      <c r="B14" s="17" t="s">
        <v>268</v>
      </c>
      <c r="C14" s="18"/>
      <c r="D14" s="18"/>
      <c r="E14" s="18"/>
      <c r="F14" s="18"/>
      <c r="G14" s="18"/>
      <c r="H14" s="18"/>
      <c r="I14" s="18"/>
    </row>
    <row r="15" spans="1:9" ht="15" customHeight="1">
      <c r="A15" s="1" t="s">
        <v>21</v>
      </c>
      <c r="B15" s="17" t="s">
        <v>245</v>
      </c>
      <c r="C15" s="18"/>
      <c r="D15" s="18"/>
      <c r="E15" s="18"/>
      <c r="F15" s="18"/>
      <c r="G15" s="18"/>
      <c r="H15" s="18"/>
      <c r="I15" s="18"/>
    </row>
    <row r="16" spans="1:9" ht="15" customHeight="1">
      <c r="A16" s="1" t="s">
        <v>246</v>
      </c>
      <c r="B16" s="17" t="s">
        <v>269</v>
      </c>
      <c r="C16" s="18"/>
      <c r="D16" s="18"/>
      <c r="E16" s="18"/>
      <c r="F16" s="18"/>
      <c r="G16" s="18"/>
      <c r="H16" s="18"/>
      <c r="I16" s="18"/>
    </row>
    <row r="17" spans="1:9" ht="30" customHeight="1">
      <c r="A17" s="1" t="s">
        <v>23</v>
      </c>
      <c r="B17" s="17" t="s">
        <v>24</v>
      </c>
      <c r="C17" s="18"/>
      <c r="D17" s="18"/>
      <c r="E17" s="18"/>
      <c r="F17" s="18"/>
      <c r="G17" s="18"/>
      <c r="H17" s="18"/>
      <c r="I17" s="18"/>
    </row>
    <row r="19" spans="1: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31</v>
      </c>
      <c r="H19" s="2" t="s">
        <v>32</v>
      </c>
      <c r="I19" s="2" t="s">
        <v>33</v>
      </c>
    </row>
    <row r="20" spans="1:9">
      <c r="A20" s="3" t="s">
        <v>248</v>
      </c>
      <c r="B20" s="4"/>
      <c r="C20" s="4"/>
      <c r="D20" s="4"/>
      <c r="E20" s="4"/>
      <c r="F20" s="4"/>
      <c r="G20" s="4"/>
      <c r="H20" s="4"/>
      <c r="I20" s="4"/>
    </row>
    <row r="21" spans="1:9">
      <c r="A21" s="7" t="s">
        <v>249</v>
      </c>
      <c r="B21" s="7">
        <v>14</v>
      </c>
      <c r="C21" s="7">
        <v>25</v>
      </c>
      <c r="D21" s="7">
        <v>35</v>
      </c>
      <c r="E21" s="7">
        <f>327-B21-C21-D21</f>
        <v>253</v>
      </c>
      <c r="F21" s="8">
        <f>IFERROR(B21/(B21+C21),0)</f>
        <v>0.35897435897435898</v>
      </c>
      <c r="G21" s="8">
        <f>IFERROR(B21/(B21+D21),0)</f>
        <v>0.2857142857142857</v>
      </c>
      <c r="H21" s="8">
        <f>IFERROR(2*F21*G21/(F21+G21),0)</f>
        <v>0.31818181818181823</v>
      </c>
      <c r="I21" s="5"/>
    </row>
    <row r="22" spans="1:9">
      <c r="A22" s="5" t="s">
        <v>250</v>
      </c>
      <c r="B22" s="5">
        <v>42</v>
      </c>
      <c r="C22" s="5">
        <v>174</v>
      </c>
      <c r="D22" s="5">
        <v>7</v>
      </c>
      <c r="E22" s="5">
        <f>327-B22-C22-D22</f>
        <v>104</v>
      </c>
      <c r="F22" s="6">
        <f>IFERROR(B22/(B22+C22),0)</f>
        <v>0.19444444444444445</v>
      </c>
      <c r="G22" s="6">
        <f>IFERROR(B22/(B22+D22),0)</f>
        <v>0.8571428571428571</v>
      </c>
      <c r="H22" s="6">
        <f>IFERROR(2*F22*G22/(F22+G22),0)</f>
        <v>0.31698113207547168</v>
      </c>
      <c r="I22" s="5"/>
    </row>
    <row r="23" spans="1:9">
      <c r="A23" s="5" t="s">
        <v>251</v>
      </c>
      <c r="B23" s="5">
        <v>15</v>
      </c>
      <c r="C23" s="5">
        <v>37</v>
      </c>
      <c r="D23" s="5">
        <v>34</v>
      </c>
      <c r="E23" s="5">
        <f>327-B23-C23-D23</f>
        <v>241</v>
      </c>
      <c r="F23" s="6">
        <f>IFERROR(B23/(B23+C23),0)</f>
        <v>0.28846153846153844</v>
      </c>
      <c r="G23" s="6">
        <f>IFERROR(B23/(B23+D23),0)</f>
        <v>0.30612244897959184</v>
      </c>
      <c r="H23" s="6">
        <f>IFERROR(2*F23*G23/(F23+G23),0)</f>
        <v>0.29702970297029702</v>
      </c>
      <c r="I23" s="5"/>
    </row>
    <row r="24" spans="1:9">
      <c r="A24" s="3" t="s">
        <v>252</v>
      </c>
      <c r="B24" s="4"/>
      <c r="C24" s="4"/>
      <c r="D24" s="4"/>
      <c r="E24" s="4"/>
      <c r="F24" s="4"/>
      <c r="G24" s="4"/>
      <c r="H24" s="4"/>
      <c r="I24" s="4"/>
    </row>
    <row r="25" spans="1:9">
      <c r="A25" s="5" t="s">
        <v>253</v>
      </c>
      <c r="B25" s="5">
        <v>24</v>
      </c>
      <c r="C25" s="5">
        <v>76</v>
      </c>
      <c r="D25" s="5">
        <v>25</v>
      </c>
      <c r="E25" s="5">
        <f>327-B25-C25-D25</f>
        <v>202</v>
      </c>
      <c r="F25" s="6">
        <f>IFERROR(B25/(B25+C25),0)</f>
        <v>0.24</v>
      </c>
      <c r="G25" s="6">
        <f>IFERROR(B25/(B25+D25),0)</f>
        <v>0.48979591836734693</v>
      </c>
      <c r="H25" s="6">
        <f>IFERROR(2*F25*G25/(F25+G25),0)</f>
        <v>0.32214765100671139</v>
      </c>
      <c r="I25" s="5"/>
    </row>
    <row r="26" spans="1:9">
      <c r="A26" s="5" t="s">
        <v>254</v>
      </c>
      <c r="B26" s="5">
        <v>20</v>
      </c>
      <c r="C26" s="5">
        <v>93</v>
      </c>
      <c r="D26" s="5">
        <v>29</v>
      </c>
      <c r="E26" s="5">
        <f>327-B26-C26-D26</f>
        <v>185</v>
      </c>
      <c r="F26" s="6">
        <f>IFERROR(B26/(B26+C26),0)</f>
        <v>0.17699115044247787</v>
      </c>
      <c r="G26" s="6">
        <f>IFERROR(B26/(B26+D26),0)</f>
        <v>0.40816326530612246</v>
      </c>
      <c r="H26" s="6">
        <f>IFERROR(2*F26*G26/(F26+G26),0)</f>
        <v>0.24691358024691357</v>
      </c>
      <c r="I26" s="5"/>
    </row>
    <row r="27" spans="1:9">
      <c r="A27" s="7" t="s">
        <v>255</v>
      </c>
      <c r="B27" s="7">
        <v>27</v>
      </c>
      <c r="C27" s="7">
        <v>82</v>
      </c>
      <c r="D27" s="7">
        <v>22</v>
      </c>
      <c r="E27" s="7">
        <f>327-B27-C27-D27</f>
        <v>196</v>
      </c>
      <c r="F27" s="8">
        <f>IFERROR(B27/(B27+C27),0)</f>
        <v>0.24770642201834864</v>
      </c>
      <c r="G27" s="8">
        <f>IFERROR(B27/(B27+D27),0)</f>
        <v>0.55102040816326525</v>
      </c>
      <c r="H27" s="8">
        <f>IFERROR(2*F27*G27/(F27+G27),0)</f>
        <v>0.34177215189873411</v>
      </c>
      <c r="I27" s="5"/>
    </row>
    <row r="28" spans="1:9">
      <c r="A28" s="5" t="s">
        <v>256</v>
      </c>
      <c r="B28" s="5" t="s">
        <v>208</v>
      </c>
      <c r="C28" s="5"/>
      <c r="D28" s="5"/>
      <c r="E28" s="5"/>
      <c r="F28" s="5"/>
      <c r="G28" s="5"/>
      <c r="H28" s="5"/>
      <c r="I28" s="5" t="s">
        <v>257</v>
      </c>
    </row>
    <row r="29" spans="1:9">
      <c r="A29" s="3" t="s">
        <v>258</v>
      </c>
      <c r="B29" s="4"/>
      <c r="C29" s="4"/>
      <c r="D29" s="4"/>
      <c r="E29" s="4"/>
      <c r="F29" s="4"/>
      <c r="G29" s="4"/>
      <c r="H29" s="4"/>
      <c r="I29" s="4"/>
    </row>
    <row r="30" spans="1:9">
      <c r="A30" s="7" t="s">
        <v>64</v>
      </c>
      <c r="B30" s="7">
        <v>18</v>
      </c>
      <c r="C30" s="7">
        <v>40</v>
      </c>
      <c r="D30" s="7">
        <v>31</v>
      </c>
      <c r="E30" s="7">
        <f>327-B30-C30-D30</f>
        <v>238</v>
      </c>
      <c r="F30" s="8">
        <f>IFERROR(B30/(B30+C30),0)</f>
        <v>0.31034482758620691</v>
      </c>
      <c r="G30" s="8">
        <f>IFERROR(B30/(B30+D30),0)</f>
        <v>0.36734693877551022</v>
      </c>
      <c r="H30" s="8">
        <f>IFERROR(2*F30*G30/(F30+G30),0)</f>
        <v>0.3364485981308411</v>
      </c>
      <c r="I30" s="5"/>
    </row>
    <row r="31" spans="1:9">
      <c r="A31" s="5" t="s">
        <v>259</v>
      </c>
      <c r="B31" s="5">
        <v>21</v>
      </c>
      <c r="C31" s="5">
        <v>79</v>
      </c>
      <c r="D31" s="5">
        <v>28</v>
      </c>
      <c r="E31" s="5">
        <f>327-B31-C31-D31</f>
        <v>199</v>
      </c>
      <c r="F31" s="6">
        <f>IFERROR(B31/(B31+C31),0)</f>
        <v>0.21</v>
      </c>
      <c r="G31" s="6">
        <f>IFERROR(B31/(B31+D31),0)</f>
        <v>0.42857142857142855</v>
      </c>
      <c r="H31" s="6">
        <f>IFERROR(2*F31*G31/(F31+G31),0)</f>
        <v>0.28187919463087246</v>
      </c>
      <c r="I31" s="5"/>
    </row>
    <row r="32" spans="1:9">
      <c r="A32" s="3" t="s">
        <v>270</v>
      </c>
      <c r="B32" s="4"/>
      <c r="C32" s="4"/>
      <c r="D32" s="4"/>
      <c r="E32" s="4"/>
      <c r="F32" s="4"/>
      <c r="G32" s="4"/>
      <c r="H32" s="4"/>
      <c r="I32" s="4"/>
    </row>
    <row r="33" spans="1:9">
      <c r="A33" s="7" t="s">
        <v>216</v>
      </c>
      <c r="B33" s="7">
        <v>30</v>
      </c>
      <c r="C33" s="7">
        <v>99</v>
      </c>
      <c r="D33" s="7">
        <v>19</v>
      </c>
      <c r="E33" s="7">
        <f>327-B33-C33-D33</f>
        <v>179</v>
      </c>
      <c r="F33" s="8">
        <f>IFERROR(B33/(B33+C33),0)</f>
        <v>0.23255813953488372</v>
      </c>
      <c r="G33" s="8">
        <f>IFERROR(B33/(B33+D33),0)</f>
        <v>0.61224489795918369</v>
      </c>
      <c r="H33" s="8">
        <f>IFERROR(2*F33*G33/(F33+G33),0)</f>
        <v>0.33707865168539325</v>
      </c>
      <c r="I33" s="5" t="s">
        <v>271</v>
      </c>
    </row>
    <row r="34" spans="1:9">
      <c r="A34" s="7" t="s">
        <v>218</v>
      </c>
      <c r="B34" s="7">
        <v>46</v>
      </c>
      <c r="C34" s="7">
        <v>199</v>
      </c>
      <c r="D34" s="7">
        <v>3</v>
      </c>
      <c r="E34" s="7">
        <f>327-B34-C34-D34</f>
        <v>79</v>
      </c>
      <c r="F34" s="8">
        <f>IFERROR(B34/(B34+C34),0)</f>
        <v>0.18775510204081633</v>
      </c>
      <c r="G34" s="8">
        <f>IFERROR(B34/(B34+D34),0)</f>
        <v>0.93877551020408168</v>
      </c>
      <c r="H34" s="8">
        <f>IFERROR(2*F34*G34/(F34+G34),0)</f>
        <v>0.31292517006802723</v>
      </c>
      <c r="I34" s="5" t="s">
        <v>271</v>
      </c>
    </row>
    <row r="35" spans="1:9">
      <c r="A35" s="3" t="s">
        <v>262</v>
      </c>
      <c r="B35" s="4"/>
      <c r="C35" s="4"/>
      <c r="D35" s="4"/>
      <c r="E35" s="4"/>
      <c r="F35" s="4"/>
      <c r="G35" s="4"/>
      <c r="H35" s="4"/>
      <c r="I35" s="4"/>
    </row>
    <row r="36" spans="1:9">
      <c r="A36" s="7" t="s">
        <v>263</v>
      </c>
      <c r="B36" s="7">
        <v>42</v>
      </c>
      <c r="C36" s="7">
        <v>188</v>
      </c>
      <c r="D36" s="7">
        <v>7</v>
      </c>
      <c r="E36" s="7">
        <f>327-B36-C36-D36</f>
        <v>90</v>
      </c>
      <c r="F36" s="8">
        <f>IFERROR(B36/(B36+C36),0)</f>
        <v>0.18260869565217391</v>
      </c>
      <c r="G36" s="8">
        <f>IFERROR(B36/(B36+D36),0)</f>
        <v>0.8571428571428571</v>
      </c>
      <c r="H36" s="8">
        <f>IFERROR(2*F36*G36/(F36+G36),0)</f>
        <v>0.30107526881720431</v>
      </c>
      <c r="I36" s="5"/>
    </row>
    <row r="37" spans="1:9">
      <c r="A37" s="7" t="s">
        <v>264</v>
      </c>
      <c r="B37" s="7">
        <v>24</v>
      </c>
      <c r="C37" s="7">
        <v>62</v>
      </c>
      <c r="D37" s="7">
        <v>25</v>
      </c>
      <c r="E37" s="7">
        <f>327-B37-C37-D37</f>
        <v>216</v>
      </c>
      <c r="F37" s="8">
        <f>IFERROR(B37/(B37+C37),0)</f>
        <v>0.27906976744186046</v>
      </c>
      <c r="G37" s="8">
        <f>IFERROR(B37/(B37+D37),0)</f>
        <v>0.48979591836734693</v>
      </c>
      <c r="H37" s="8">
        <f>IFERROR(2*F37*G37/(F37+G37),0)</f>
        <v>0.35555555555555562</v>
      </c>
      <c r="I37" s="5"/>
    </row>
  </sheetData>
  <mergeCells count="17">
    <mergeCell ref="B1:I1"/>
    <mergeCell ref="B8:I8"/>
    <mergeCell ref="B4:I4"/>
    <mergeCell ref="B17:I17"/>
    <mergeCell ref="B6:I6"/>
    <mergeCell ref="B2:I2"/>
    <mergeCell ref="B16:I16"/>
    <mergeCell ref="B10:I10"/>
    <mergeCell ref="B3:I3"/>
    <mergeCell ref="B5:I5"/>
    <mergeCell ref="B14:I14"/>
    <mergeCell ref="B9:I9"/>
    <mergeCell ref="B12:I12"/>
    <mergeCell ref="B13:I13"/>
    <mergeCell ref="B15:I15"/>
    <mergeCell ref="B7:I7"/>
    <mergeCell ref="B11:I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7"/>
  <sheetViews>
    <sheetView workbookViewId="0"/>
  </sheetViews>
  <sheetFormatPr defaultRowHeight="14.35"/>
  <cols>
    <col min="1" max="1" width="34" customWidth="1"/>
    <col min="2" max="5" width="7" customWidth="1"/>
    <col min="6" max="8" width="8" customWidth="1"/>
    <col min="9" max="9" width="70" customWidth="1"/>
  </cols>
  <sheetData>
    <row r="1" spans="1:9" ht="15" customHeight="1">
      <c r="A1" s="1" t="s">
        <v>0</v>
      </c>
      <c r="B1" s="17" t="s">
        <v>272</v>
      </c>
      <c r="C1" s="18"/>
      <c r="D1" s="18"/>
      <c r="E1" s="18"/>
      <c r="F1" s="18"/>
      <c r="G1" s="18"/>
      <c r="H1" s="18"/>
      <c r="I1" s="18"/>
    </row>
    <row r="2" spans="1:9" ht="15" customHeight="1">
      <c r="A2" s="1" t="s">
        <v>2</v>
      </c>
      <c r="B2" s="19" t="s">
        <v>273</v>
      </c>
      <c r="C2" s="18"/>
      <c r="D2" s="18"/>
      <c r="E2" s="18"/>
      <c r="F2" s="18"/>
      <c r="G2" s="18"/>
      <c r="H2" s="18"/>
      <c r="I2" s="18"/>
    </row>
    <row r="3" spans="1:9" ht="15" customHeight="1">
      <c r="A3" s="1" t="s">
        <v>4</v>
      </c>
      <c r="B3" s="17" t="s">
        <v>274</v>
      </c>
      <c r="C3" s="18"/>
      <c r="D3" s="18"/>
      <c r="E3" s="18"/>
      <c r="F3" s="18"/>
      <c r="G3" s="18"/>
      <c r="H3" s="18"/>
      <c r="I3" s="18"/>
    </row>
    <row r="4" spans="1:9" ht="15" customHeight="1">
      <c r="A4" s="1" t="s">
        <v>6</v>
      </c>
      <c r="B4" s="17" t="s">
        <v>241</v>
      </c>
      <c r="C4" s="18"/>
      <c r="D4" s="18"/>
      <c r="E4" s="18"/>
      <c r="F4" s="18"/>
      <c r="G4" s="18"/>
      <c r="H4" s="18"/>
      <c r="I4" s="18"/>
    </row>
    <row r="5" spans="1:9" ht="15" customHeight="1">
      <c r="A5" s="1" t="s">
        <v>8</v>
      </c>
      <c r="B5" s="17" t="s">
        <v>242</v>
      </c>
      <c r="C5" s="18"/>
      <c r="D5" s="18"/>
      <c r="E5" s="18"/>
      <c r="F5" s="18"/>
      <c r="G5" s="18"/>
      <c r="H5" s="18"/>
      <c r="I5" s="18"/>
    </row>
    <row r="6" spans="1:9" ht="15" customHeight="1">
      <c r="A6" s="1" t="s">
        <v>10</v>
      </c>
      <c r="B6" s="17">
        <v>25</v>
      </c>
      <c r="C6" s="18"/>
      <c r="D6" s="18"/>
      <c r="E6" s="18"/>
      <c r="F6" s="18"/>
      <c r="G6" s="18"/>
      <c r="H6" s="18"/>
      <c r="I6" s="18"/>
    </row>
    <row r="7" spans="1:9" ht="15" customHeight="1">
      <c r="A7" s="1" t="s">
        <v>11</v>
      </c>
      <c r="B7" s="17">
        <v>327</v>
      </c>
      <c r="C7" s="18"/>
      <c r="D7" s="18"/>
      <c r="E7" s="18"/>
      <c r="F7" s="18"/>
      <c r="G7" s="18"/>
      <c r="H7" s="18"/>
      <c r="I7" s="18"/>
    </row>
    <row r="8" spans="1:9" ht="15" customHeight="1">
      <c r="A8" s="1" t="s">
        <v>12</v>
      </c>
      <c r="B8" s="17">
        <v>13</v>
      </c>
      <c r="C8" s="18"/>
      <c r="D8" s="18"/>
      <c r="E8" s="18"/>
      <c r="F8" s="18"/>
      <c r="G8" s="18"/>
      <c r="H8" s="18"/>
      <c r="I8" s="18"/>
    </row>
    <row r="9" spans="1:9" ht="15" customHeight="1">
      <c r="A9" s="1" t="s">
        <v>13</v>
      </c>
      <c r="B9" s="17">
        <v>314</v>
      </c>
      <c r="C9" s="18"/>
      <c r="D9" s="18"/>
      <c r="E9" s="18"/>
      <c r="F9" s="18"/>
      <c r="G9" s="18"/>
      <c r="H9" s="18"/>
      <c r="I9" s="18"/>
    </row>
    <row r="10" spans="1:9" ht="15" customHeight="1">
      <c r="A10" s="1" t="s">
        <v>14</v>
      </c>
      <c r="B10" s="17">
        <v>3.9800000000000002E-2</v>
      </c>
      <c r="C10" s="18"/>
      <c r="D10" s="18"/>
      <c r="E10" s="18"/>
      <c r="F10" s="18"/>
      <c r="G10" s="18"/>
      <c r="H10" s="18"/>
      <c r="I10" s="18"/>
    </row>
    <row r="11" spans="1:9" ht="15" customHeight="1">
      <c r="A11" s="1" t="s">
        <v>15</v>
      </c>
      <c r="B11" s="17">
        <v>327</v>
      </c>
      <c r="C11" s="18"/>
      <c r="D11" s="18"/>
      <c r="E11" s="18"/>
      <c r="F11" s="18"/>
      <c r="G11" s="18"/>
      <c r="H11" s="18"/>
      <c r="I11" s="18"/>
    </row>
    <row r="12" spans="1:9" ht="15" customHeight="1">
      <c r="A12" s="1" t="s">
        <v>16</v>
      </c>
      <c r="B12" s="17">
        <v>1</v>
      </c>
      <c r="C12" s="18"/>
      <c r="D12" s="18"/>
      <c r="E12" s="18"/>
      <c r="F12" s="18"/>
      <c r="G12" s="18"/>
      <c r="H12" s="18"/>
      <c r="I12" s="18"/>
    </row>
    <row r="13" spans="1:9" ht="15" customHeight="1">
      <c r="A13" s="1" t="s">
        <v>104</v>
      </c>
      <c r="B13" s="17" t="s">
        <v>105</v>
      </c>
      <c r="C13" s="18"/>
      <c r="D13" s="18"/>
      <c r="E13" s="18"/>
      <c r="F13" s="18"/>
      <c r="G13" s="18"/>
      <c r="H13" s="18"/>
      <c r="I13" s="18"/>
    </row>
    <row r="14" spans="1:9" ht="15" customHeight="1">
      <c r="A14" s="1" t="s">
        <v>243</v>
      </c>
      <c r="B14" s="17" t="s">
        <v>275</v>
      </c>
      <c r="C14" s="18"/>
      <c r="D14" s="18"/>
      <c r="E14" s="18"/>
      <c r="F14" s="18"/>
      <c r="G14" s="18"/>
      <c r="H14" s="18"/>
      <c r="I14" s="18"/>
    </row>
    <row r="15" spans="1:9" ht="15" customHeight="1">
      <c r="A15" s="1" t="s">
        <v>21</v>
      </c>
      <c r="B15" s="17" t="s">
        <v>245</v>
      </c>
      <c r="C15" s="18"/>
      <c r="D15" s="18"/>
      <c r="E15" s="18"/>
      <c r="F15" s="18"/>
      <c r="G15" s="18"/>
      <c r="H15" s="18"/>
      <c r="I15" s="18"/>
    </row>
    <row r="16" spans="1:9" ht="30" customHeight="1">
      <c r="A16" s="1" t="s">
        <v>246</v>
      </c>
      <c r="B16" s="17" t="s">
        <v>276</v>
      </c>
      <c r="C16" s="18"/>
      <c r="D16" s="18"/>
      <c r="E16" s="18"/>
      <c r="F16" s="18"/>
      <c r="G16" s="18"/>
      <c r="H16" s="18"/>
      <c r="I16" s="18"/>
    </row>
    <row r="17" spans="1:9" ht="30" customHeight="1">
      <c r="A17" s="1" t="s">
        <v>23</v>
      </c>
      <c r="B17" s="17" t="s">
        <v>24</v>
      </c>
      <c r="C17" s="18"/>
      <c r="D17" s="18"/>
      <c r="E17" s="18"/>
      <c r="F17" s="18"/>
      <c r="G17" s="18"/>
      <c r="H17" s="18"/>
      <c r="I17" s="18"/>
    </row>
    <row r="19" spans="1: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31</v>
      </c>
      <c r="H19" s="2" t="s">
        <v>32</v>
      </c>
      <c r="I19" s="2" t="s">
        <v>33</v>
      </c>
    </row>
    <row r="20" spans="1:9">
      <c r="A20" s="3" t="s">
        <v>248</v>
      </c>
      <c r="B20" s="4"/>
      <c r="C20" s="4"/>
      <c r="D20" s="4"/>
      <c r="E20" s="4"/>
      <c r="F20" s="4"/>
      <c r="G20" s="4"/>
      <c r="H20" s="4"/>
      <c r="I20" s="4"/>
    </row>
    <row r="21" spans="1:9">
      <c r="A21" s="7" t="s">
        <v>249</v>
      </c>
      <c r="B21" s="7">
        <v>8</v>
      </c>
      <c r="C21" s="7">
        <v>40</v>
      </c>
      <c r="D21" s="7">
        <v>5</v>
      </c>
      <c r="E21" s="7">
        <f>327-B21-C21-D21</f>
        <v>274</v>
      </c>
      <c r="F21" s="8">
        <f>IFERROR(B21/(B21+C21),0)</f>
        <v>0.16666666666666666</v>
      </c>
      <c r="G21" s="8">
        <f>IFERROR(B21/(B21+D21),0)</f>
        <v>0.61538461538461542</v>
      </c>
      <c r="H21" s="8">
        <f>IFERROR(2*F21*G21/(F21+G21),0)</f>
        <v>0.26229508196721313</v>
      </c>
      <c r="I21" s="5"/>
    </row>
    <row r="22" spans="1:9">
      <c r="A22" s="5" t="s">
        <v>250</v>
      </c>
      <c r="B22" s="5">
        <v>9</v>
      </c>
      <c r="C22" s="5">
        <v>64</v>
      </c>
      <c r="D22" s="5">
        <v>4</v>
      </c>
      <c r="E22" s="5">
        <f>327-B22-C22-D22</f>
        <v>250</v>
      </c>
      <c r="F22" s="6">
        <f>IFERROR(B22/(B22+C22),0)</f>
        <v>0.12328767123287671</v>
      </c>
      <c r="G22" s="6">
        <f>IFERROR(B22/(B22+D22),0)</f>
        <v>0.69230769230769229</v>
      </c>
      <c r="H22" s="6">
        <f>IFERROR(2*F22*G22/(F22+G22),0)</f>
        <v>0.20930232558139533</v>
      </c>
      <c r="I22" s="5"/>
    </row>
    <row r="23" spans="1:9">
      <c r="A23" s="5" t="s">
        <v>251</v>
      </c>
      <c r="B23" s="5">
        <v>4</v>
      </c>
      <c r="C23" s="5">
        <v>14</v>
      </c>
      <c r="D23" s="5">
        <v>9</v>
      </c>
      <c r="E23" s="5">
        <f>327-B23-C23-D23</f>
        <v>300</v>
      </c>
      <c r="F23" s="6">
        <f>IFERROR(B23/(B23+C23),0)</f>
        <v>0.22222222222222221</v>
      </c>
      <c r="G23" s="6">
        <f>IFERROR(B23/(B23+D23),0)</f>
        <v>0.30769230769230771</v>
      </c>
      <c r="H23" s="6">
        <f>IFERROR(2*F23*G23/(F23+G23),0)</f>
        <v>0.25806451612903231</v>
      </c>
      <c r="I23" s="5"/>
    </row>
    <row r="24" spans="1:9">
      <c r="A24" s="3" t="s">
        <v>252</v>
      </c>
      <c r="B24" s="4"/>
      <c r="C24" s="4"/>
      <c r="D24" s="4"/>
      <c r="E24" s="4"/>
      <c r="F24" s="4"/>
      <c r="G24" s="4"/>
      <c r="H24" s="4"/>
      <c r="I24" s="4"/>
    </row>
    <row r="25" spans="1:9">
      <c r="A25" s="5" t="s">
        <v>253</v>
      </c>
      <c r="B25" s="5">
        <v>8</v>
      </c>
      <c r="C25" s="5">
        <v>64</v>
      </c>
      <c r="D25" s="5">
        <v>5</v>
      </c>
      <c r="E25" s="5">
        <f>327-B25-C25-D25</f>
        <v>250</v>
      </c>
      <c r="F25" s="6">
        <f>IFERROR(B25/(B25+C25),0)</f>
        <v>0.1111111111111111</v>
      </c>
      <c r="G25" s="6">
        <f>IFERROR(B25/(B25+D25),0)</f>
        <v>0.61538461538461542</v>
      </c>
      <c r="H25" s="6">
        <f>IFERROR(2*F25*G25/(F25+G25),0)</f>
        <v>0.18823529411764706</v>
      </c>
      <c r="I25" s="5"/>
    </row>
    <row r="26" spans="1:9">
      <c r="A26" s="5" t="s">
        <v>254</v>
      </c>
      <c r="B26" s="5">
        <v>9</v>
      </c>
      <c r="C26" s="5">
        <v>78</v>
      </c>
      <c r="D26" s="5">
        <v>4</v>
      </c>
      <c r="E26" s="5">
        <f>327-B26-C26-D26</f>
        <v>236</v>
      </c>
      <c r="F26" s="6">
        <f>IFERROR(B26/(B26+C26),0)</f>
        <v>0.10344827586206896</v>
      </c>
      <c r="G26" s="6">
        <f>IFERROR(B26/(B26+D26),0)</f>
        <v>0.69230769230769229</v>
      </c>
      <c r="H26" s="6">
        <f>IFERROR(2*F26*G26/(F26+G26),0)</f>
        <v>0.18</v>
      </c>
      <c r="I26" s="5"/>
    </row>
    <row r="27" spans="1:9">
      <c r="A27" s="7" t="s">
        <v>255</v>
      </c>
      <c r="B27" s="7">
        <v>7</v>
      </c>
      <c r="C27" s="7">
        <v>36</v>
      </c>
      <c r="D27" s="7">
        <v>6</v>
      </c>
      <c r="E27" s="7">
        <f>327-B27-C27-D27</f>
        <v>278</v>
      </c>
      <c r="F27" s="8">
        <f>IFERROR(B27/(B27+C27),0)</f>
        <v>0.16279069767441862</v>
      </c>
      <c r="G27" s="8">
        <f>IFERROR(B27/(B27+D27),0)</f>
        <v>0.53846153846153844</v>
      </c>
      <c r="H27" s="8">
        <f>IFERROR(2*F27*G27/(F27+G27),0)</f>
        <v>0.25000000000000006</v>
      </c>
      <c r="I27" s="5"/>
    </row>
    <row r="28" spans="1:9">
      <c r="A28" s="5" t="s">
        <v>256</v>
      </c>
      <c r="B28" s="5" t="s">
        <v>208</v>
      </c>
      <c r="C28" s="5"/>
      <c r="D28" s="5"/>
      <c r="E28" s="5"/>
      <c r="F28" s="5"/>
      <c r="G28" s="5"/>
      <c r="H28" s="5"/>
      <c r="I28" s="5" t="s">
        <v>257</v>
      </c>
    </row>
    <row r="29" spans="1:9">
      <c r="A29" s="3" t="s">
        <v>258</v>
      </c>
      <c r="B29" s="4"/>
      <c r="C29" s="4"/>
      <c r="D29" s="4"/>
      <c r="E29" s="4"/>
      <c r="F29" s="4"/>
      <c r="G29" s="4"/>
      <c r="H29" s="4"/>
      <c r="I29" s="4"/>
    </row>
    <row r="30" spans="1:9">
      <c r="A30" s="7" t="s">
        <v>64</v>
      </c>
      <c r="B30" s="7">
        <v>7</v>
      </c>
      <c r="C30" s="7">
        <v>27</v>
      </c>
      <c r="D30" s="7">
        <v>6</v>
      </c>
      <c r="E30" s="7">
        <f>327-B30-C30-D30</f>
        <v>287</v>
      </c>
      <c r="F30" s="8">
        <f>IFERROR(B30/(B30+C30),0)</f>
        <v>0.20588235294117646</v>
      </c>
      <c r="G30" s="8">
        <f>IFERROR(B30/(B30+D30),0)</f>
        <v>0.53846153846153844</v>
      </c>
      <c r="H30" s="8">
        <f>IFERROR(2*F30*G30/(F30+G30),0)</f>
        <v>0.2978723404255319</v>
      </c>
      <c r="I30" s="5"/>
    </row>
    <row r="31" spans="1:9">
      <c r="A31" s="5" t="s">
        <v>259</v>
      </c>
      <c r="B31" s="5">
        <v>9</v>
      </c>
      <c r="C31" s="5">
        <v>49</v>
      </c>
      <c r="D31" s="5">
        <v>4</v>
      </c>
      <c r="E31" s="5">
        <f>327-B31-C31-D31</f>
        <v>265</v>
      </c>
      <c r="F31" s="6">
        <f>IFERROR(B31/(B31+C31),0)</f>
        <v>0.15517241379310345</v>
      </c>
      <c r="G31" s="6">
        <f>IFERROR(B31/(B31+D31),0)</f>
        <v>0.69230769230769229</v>
      </c>
      <c r="H31" s="6">
        <f>IFERROR(2*F31*G31/(F31+G31),0)</f>
        <v>0.25352112676056338</v>
      </c>
      <c r="I31" s="5"/>
    </row>
    <row r="32" spans="1:9">
      <c r="A32" s="3" t="s">
        <v>277</v>
      </c>
      <c r="B32" s="4"/>
      <c r="C32" s="4"/>
      <c r="D32" s="4"/>
      <c r="E32" s="4"/>
      <c r="F32" s="4"/>
      <c r="G32" s="4"/>
      <c r="H32" s="4"/>
      <c r="I32" s="4"/>
    </row>
    <row r="33" spans="1:9">
      <c r="A33" s="7" t="s">
        <v>216</v>
      </c>
      <c r="B33" s="7">
        <v>9</v>
      </c>
      <c r="C33" s="7">
        <v>62</v>
      </c>
      <c r="D33" s="7">
        <v>4</v>
      </c>
      <c r="E33" s="7">
        <f>327-B33-C33-D33</f>
        <v>252</v>
      </c>
      <c r="F33" s="8">
        <f>IFERROR(B33/(B33+C33),0)</f>
        <v>0.12676056338028169</v>
      </c>
      <c r="G33" s="8">
        <f>IFERROR(B33/(B33+D33),0)</f>
        <v>0.69230769230769229</v>
      </c>
      <c r="H33" s="8">
        <f>IFERROR(2*F33*G33/(F33+G33),0)</f>
        <v>0.21428571428571425</v>
      </c>
      <c r="I33" s="5" t="s">
        <v>278</v>
      </c>
    </row>
    <row r="34" spans="1:9">
      <c r="A34" s="7" t="s">
        <v>218</v>
      </c>
      <c r="B34" s="7">
        <v>10</v>
      </c>
      <c r="C34" s="7">
        <v>99</v>
      </c>
      <c r="D34" s="7">
        <v>3</v>
      </c>
      <c r="E34" s="7">
        <f>327-B34-C34-D34</f>
        <v>215</v>
      </c>
      <c r="F34" s="8">
        <f>IFERROR(B34/(B34+C34),0)</f>
        <v>9.1743119266055051E-2</v>
      </c>
      <c r="G34" s="8">
        <f>IFERROR(B34/(B34+D34),0)</f>
        <v>0.76923076923076927</v>
      </c>
      <c r="H34" s="8">
        <f>IFERROR(2*F34*G34/(F34+G34),0)</f>
        <v>0.16393442622950818</v>
      </c>
      <c r="I34" s="5" t="s">
        <v>278</v>
      </c>
    </row>
    <row r="35" spans="1:9">
      <c r="A35" s="3" t="s">
        <v>262</v>
      </c>
      <c r="B35" s="4"/>
      <c r="C35" s="4"/>
      <c r="D35" s="4"/>
      <c r="E35" s="4"/>
      <c r="F35" s="4"/>
      <c r="G35" s="4"/>
      <c r="H35" s="4"/>
      <c r="I35" s="4"/>
    </row>
    <row r="36" spans="1:9">
      <c r="A36" s="7" t="s">
        <v>263</v>
      </c>
      <c r="B36" s="7">
        <v>9</v>
      </c>
      <c r="C36" s="7">
        <v>95</v>
      </c>
      <c r="D36" s="7">
        <v>4</v>
      </c>
      <c r="E36" s="7">
        <f>327-B36-C36-D36</f>
        <v>219</v>
      </c>
      <c r="F36" s="8">
        <f>IFERROR(B36/(B36+C36),0)</f>
        <v>8.6538461538461536E-2</v>
      </c>
      <c r="G36" s="8">
        <f>IFERROR(B36/(B36+D36),0)</f>
        <v>0.69230769230769229</v>
      </c>
      <c r="H36" s="8">
        <f>IFERROR(2*F36*G36/(F36+G36),0)</f>
        <v>0.15384615384615383</v>
      </c>
      <c r="I36" s="5"/>
    </row>
    <row r="37" spans="1:9">
      <c r="A37" s="7" t="s">
        <v>264</v>
      </c>
      <c r="B37" s="7">
        <v>8</v>
      </c>
      <c r="C37" s="7">
        <v>33</v>
      </c>
      <c r="D37" s="7">
        <v>5</v>
      </c>
      <c r="E37" s="7">
        <f>327-B37-C37-D37</f>
        <v>281</v>
      </c>
      <c r="F37" s="8">
        <f>IFERROR(B37/(B37+C37),0)</f>
        <v>0.1951219512195122</v>
      </c>
      <c r="G37" s="8">
        <f>IFERROR(B37/(B37+D37),0)</f>
        <v>0.61538461538461542</v>
      </c>
      <c r="H37" s="8">
        <f>IFERROR(2*F37*G37/(F37+G37),0)</f>
        <v>0.29629629629629634</v>
      </c>
      <c r="I37" s="5"/>
    </row>
  </sheetData>
  <mergeCells count="17">
    <mergeCell ref="B1:I1"/>
    <mergeCell ref="B8:I8"/>
    <mergeCell ref="B4:I4"/>
    <mergeCell ref="B17:I17"/>
    <mergeCell ref="B6:I6"/>
    <mergeCell ref="B2:I2"/>
    <mergeCell ref="B16:I16"/>
    <mergeCell ref="B10:I10"/>
    <mergeCell ref="B3:I3"/>
    <mergeCell ref="B5:I5"/>
    <mergeCell ref="B14:I14"/>
    <mergeCell ref="B9:I9"/>
    <mergeCell ref="B12:I12"/>
    <mergeCell ref="B13:I13"/>
    <mergeCell ref="B15:I15"/>
    <mergeCell ref="B7:I7"/>
    <mergeCell ref="B11:I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7"/>
  <sheetViews>
    <sheetView workbookViewId="0"/>
  </sheetViews>
  <sheetFormatPr defaultRowHeight="14.35"/>
  <cols>
    <col min="1" max="1" width="34" customWidth="1"/>
    <col min="2" max="5" width="7" customWidth="1"/>
    <col min="6" max="8" width="8" customWidth="1"/>
    <col min="9" max="9" width="70" customWidth="1"/>
  </cols>
  <sheetData>
    <row r="1" spans="1:9" ht="15" customHeight="1">
      <c r="A1" s="1" t="s">
        <v>0</v>
      </c>
      <c r="B1" s="17" t="s">
        <v>279</v>
      </c>
      <c r="C1" s="18"/>
      <c r="D1" s="18"/>
      <c r="E1" s="18"/>
      <c r="F1" s="18"/>
      <c r="G1" s="18"/>
      <c r="H1" s="18"/>
      <c r="I1" s="18"/>
    </row>
    <row r="2" spans="1:9" ht="15" customHeight="1">
      <c r="A2" s="1" t="s">
        <v>2</v>
      </c>
      <c r="B2" s="19" t="s">
        <v>280</v>
      </c>
      <c r="C2" s="18"/>
      <c r="D2" s="18"/>
      <c r="E2" s="18"/>
      <c r="F2" s="18"/>
      <c r="G2" s="18"/>
      <c r="H2" s="18"/>
      <c r="I2" s="18"/>
    </row>
    <row r="3" spans="1:9" ht="15" customHeight="1">
      <c r="A3" s="1" t="s">
        <v>4</v>
      </c>
      <c r="B3" s="17" t="s">
        <v>281</v>
      </c>
      <c r="C3" s="18"/>
      <c r="D3" s="18"/>
      <c r="E3" s="18"/>
      <c r="F3" s="18"/>
      <c r="G3" s="18"/>
      <c r="H3" s="18"/>
      <c r="I3" s="18"/>
    </row>
    <row r="4" spans="1:9" ht="15" customHeight="1">
      <c r="A4" s="1" t="s">
        <v>6</v>
      </c>
      <c r="B4" s="17" t="s">
        <v>241</v>
      </c>
      <c r="C4" s="18"/>
      <c r="D4" s="18"/>
      <c r="E4" s="18"/>
      <c r="F4" s="18"/>
      <c r="G4" s="18"/>
      <c r="H4" s="18"/>
      <c r="I4" s="18"/>
    </row>
    <row r="5" spans="1:9" ht="15" customHeight="1">
      <c r="A5" s="1" t="s">
        <v>8</v>
      </c>
      <c r="B5" s="17" t="s">
        <v>242</v>
      </c>
      <c r="C5" s="18"/>
      <c r="D5" s="18"/>
      <c r="E5" s="18"/>
      <c r="F5" s="18"/>
      <c r="G5" s="18"/>
      <c r="H5" s="18"/>
      <c r="I5" s="18"/>
    </row>
    <row r="6" spans="1:9" ht="15" customHeight="1">
      <c r="A6" s="1" t="s">
        <v>10</v>
      </c>
      <c r="B6" s="17">
        <v>25</v>
      </c>
      <c r="C6" s="18"/>
      <c r="D6" s="18"/>
      <c r="E6" s="18"/>
      <c r="F6" s="18"/>
      <c r="G6" s="18"/>
      <c r="H6" s="18"/>
      <c r="I6" s="18"/>
    </row>
    <row r="7" spans="1:9" ht="15" customHeight="1">
      <c r="A7" s="1" t="s">
        <v>11</v>
      </c>
      <c r="B7" s="17">
        <v>327</v>
      </c>
      <c r="C7" s="18"/>
      <c r="D7" s="18"/>
      <c r="E7" s="18"/>
      <c r="F7" s="18"/>
      <c r="G7" s="18"/>
      <c r="H7" s="18"/>
      <c r="I7" s="18"/>
    </row>
    <row r="8" spans="1:9" ht="15" customHeight="1">
      <c r="A8" s="1" t="s">
        <v>12</v>
      </c>
      <c r="B8" s="17">
        <v>25</v>
      </c>
      <c r="C8" s="18"/>
      <c r="D8" s="18"/>
      <c r="E8" s="18"/>
      <c r="F8" s="18"/>
      <c r="G8" s="18"/>
      <c r="H8" s="18"/>
      <c r="I8" s="18"/>
    </row>
    <row r="9" spans="1:9" ht="15" customHeight="1">
      <c r="A9" s="1" t="s">
        <v>13</v>
      </c>
      <c r="B9" s="17">
        <v>302</v>
      </c>
      <c r="C9" s="18"/>
      <c r="D9" s="18"/>
      <c r="E9" s="18"/>
      <c r="F9" s="18"/>
      <c r="G9" s="18"/>
      <c r="H9" s="18"/>
      <c r="I9" s="18"/>
    </row>
    <row r="10" spans="1:9" ht="15" customHeight="1">
      <c r="A10" s="1" t="s">
        <v>14</v>
      </c>
      <c r="B10" s="17">
        <v>7.6499999999999999E-2</v>
      </c>
      <c r="C10" s="18"/>
      <c r="D10" s="18"/>
      <c r="E10" s="18"/>
      <c r="F10" s="18"/>
      <c r="G10" s="18"/>
      <c r="H10" s="18"/>
      <c r="I10" s="18"/>
    </row>
    <row r="11" spans="1:9" ht="15" customHeight="1">
      <c r="A11" s="1" t="s">
        <v>15</v>
      </c>
      <c r="B11" s="17">
        <v>327</v>
      </c>
      <c r="C11" s="18"/>
      <c r="D11" s="18"/>
      <c r="E11" s="18"/>
      <c r="F11" s="18"/>
      <c r="G11" s="18"/>
      <c r="H11" s="18"/>
      <c r="I11" s="18"/>
    </row>
    <row r="12" spans="1:9" ht="15" customHeight="1">
      <c r="A12" s="1" t="s">
        <v>16</v>
      </c>
      <c r="B12" s="17">
        <v>1</v>
      </c>
      <c r="C12" s="18"/>
      <c r="D12" s="18"/>
      <c r="E12" s="18"/>
      <c r="F12" s="18"/>
      <c r="G12" s="18"/>
      <c r="H12" s="18"/>
      <c r="I12" s="18"/>
    </row>
    <row r="13" spans="1:9" ht="15" customHeight="1">
      <c r="A13" s="1" t="s">
        <v>104</v>
      </c>
      <c r="B13" s="17" t="s">
        <v>105</v>
      </c>
      <c r="C13" s="18"/>
      <c r="D13" s="18"/>
      <c r="E13" s="18"/>
      <c r="F13" s="18"/>
      <c r="G13" s="18"/>
      <c r="H13" s="18"/>
      <c r="I13" s="18"/>
    </row>
    <row r="14" spans="1:9" ht="15" customHeight="1">
      <c r="A14" s="1" t="s">
        <v>243</v>
      </c>
      <c r="B14" s="17" t="s">
        <v>282</v>
      </c>
      <c r="C14" s="18"/>
      <c r="D14" s="18"/>
      <c r="E14" s="18"/>
      <c r="F14" s="18"/>
      <c r="G14" s="18"/>
      <c r="H14" s="18"/>
      <c r="I14" s="18"/>
    </row>
    <row r="15" spans="1:9" ht="15" customHeight="1">
      <c r="A15" s="1" t="s">
        <v>21</v>
      </c>
      <c r="B15" s="17" t="s">
        <v>245</v>
      </c>
      <c r="C15" s="18"/>
      <c r="D15" s="18"/>
      <c r="E15" s="18"/>
      <c r="F15" s="18"/>
      <c r="G15" s="18"/>
      <c r="H15" s="18"/>
      <c r="I15" s="18"/>
    </row>
    <row r="16" spans="1:9" ht="30" customHeight="1">
      <c r="A16" s="1" t="s">
        <v>246</v>
      </c>
      <c r="B16" s="17" t="s">
        <v>283</v>
      </c>
      <c r="C16" s="18"/>
      <c r="D16" s="18"/>
      <c r="E16" s="18"/>
      <c r="F16" s="18"/>
      <c r="G16" s="18"/>
      <c r="H16" s="18"/>
      <c r="I16" s="18"/>
    </row>
    <row r="17" spans="1:9" ht="30" customHeight="1">
      <c r="A17" s="1" t="s">
        <v>23</v>
      </c>
      <c r="B17" s="17" t="s">
        <v>24</v>
      </c>
      <c r="C17" s="18"/>
      <c r="D17" s="18"/>
      <c r="E17" s="18"/>
      <c r="F17" s="18"/>
      <c r="G17" s="18"/>
      <c r="H17" s="18"/>
      <c r="I17" s="18"/>
    </row>
    <row r="19" spans="1: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31</v>
      </c>
      <c r="H19" s="2" t="s">
        <v>32</v>
      </c>
      <c r="I19" s="2" t="s">
        <v>33</v>
      </c>
    </row>
    <row r="20" spans="1:9">
      <c r="A20" s="3" t="s">
        <v>248</v>
      </c>
      <c r="B20" s="4"/>
      <c r="C20" s="4"/>
      <c r="D20" s="4"/>
      <c r="E20" s="4"/>
      <c r="F20" s="4"/>
      <c r="G20" s="4"/>
      <c r="H20" s="4"/>
      <c r="I20" s="4"/>
    </row>
    <row r="21" spans="1:9">
      <c r="A21" s="7" t="s">
        <v>249</v>
      </c>
      <c r="B21" s="7">
        <v>13</v>
      </c>
      <c r="C21" s="7">
        <v>28</v>
      </c>
      <c r="D21" s="7">
        <v>12</v>
      </c>
      <c r="E21" s="7">
        <f>327-B21-C21-D21</f>
        <v>274</v>
      </c>
      <c r="F21" s="8">
        <f>IFERROR(B21/(B21+C21),0)</f>
        <v>0.31707317073170732</v>
      </c>
      <c r="G21" s="8">
        <f>IFERROR(B21/(B21+D21),0)</f>
        <v>0.52</v>
      </c>
      <c r="H21" s="8">
        <f>IFERROR(2*F21*G21/(F21+G21),0)</f>
        <v>0.39393939393939392</v>
      </c>
      <c r="I21" s="5"/>
    </row>
    <row r="22" spans="1:9">
      <c r="A22" s="5" t="s">
        <v>250</v>
      </c>
      <c r="B22" s="5">
        <v>15</v>
      </c>
      <c r="C22" s="5">
        <v>66</v>
      </c>
      <c r="D22" s="5">
        <v>10</v>
      </c>
      <c r="E22" s="5">
        <f>327-B22-C22-D22</f>
        <v>236</v>
      </c>
      <c r="F22" s="6">
        <f>IFERROR(B22/(B22+C22),0)</f>
        <v>0.18518518518518517</v>
      </c>
      <c r="G22" s="6">
        <f>IFERROR(B22/(B22+D22),0)</f>
        <v>0.6</v>
      </c>
      <c r="H22" s="6">
        <f>IFERROR(2*F22*G22/(F22+G22),0)</f>
        <v>0.28301886792452829</v>
      </c>
      <c r="I22" s="5"/>
    </row>
    <row r="23" spans="1:9">
      <c r="A23" s="5" t="s">
        <v>251</v>
      </c>
      <c r="B23" s="5">
        <v>13</v>
      </c>
      <c r="C23" s="5">
        <v>29</v>
      </c>
      <c r="D23" s="5">
        <v>12</v>
      </c>
      <c r="E23" s="5">
        <f>327-B23-C23-D23</f>
        <v>273</v>
      </c>
      <c r="F23" s="6">
        <f>IFERROR(B23/(B23+C23),0)</f>
        <v>0.30952380952380953</v>
      </c>
      <c r="G23" s="6">
        <f>IFERROR(B23/(B23+D23),0)</f>
        <v>0.52</v>
      </c>
      <c r="H23" s="6">
        <f>IFERROR(2*F23*G23/(F23+G23),0)</f>
        <v>0.38805970149253732</v>
      </c>
      <c r="I23" s="5"/>
    </row>
    <row r="24" spans="1:9">
      <c r="A24" s="3" t="s">
        <v>252</v>
      </c>
      <c r="B24" s="4"/>
      <c r="C24" s="4"/>
      <c r="D24" s="4"/>
      <c r="E24" s="4"/>
      <c r="F24" s="4"/>
      <c r="G24" s="4"/>
      <c r="H24" s="4"/>
      <c r="I24" s="4"/>
    </row>
    <row r="25" spans="1:9">
      <c r="A25" s="5" t="s">
        <v>253</v>
      </c>
      <c r="B25" s="5">
        <v>13</v>
      </c>
      <c r="C25" s="5">
        <v>47</v>
      </c>
      <c r="D25" s="5">
        <v>12</v>
      </c>
      <c r="E25" s="5">
        <f>327-B25-C25-D25</f>
        <v>255</v>
      </c>
      <c r="F25" s="6">
        <f>IFERROR(B25/(B25+C25),0)</f>
        <v>0.21666666666666667</v>
      </c>
      <c r="G25" s="6">
        <f>IFERROR(B25/(B25+D25),0)</f>
        <v>0.52</v>
      </c>
      <c r="H25" s="6">
        <f>IFERROR(2*F25*G25/(F25+G25),0)</f>
        <v>0.30588235294117649</v>
      </c>
      <c r="I25" s="5"/>
    </row>
    <row r="26" spans="1:9">
      <c r="A26" s="7" t="s">
        <v>254</v>
      </c>
      <c r="B26" s="7">
        <v>20</v>
      </c>
      <c r="C26" s="7">
        <v>63</v>
      </c>
      <c r="D26" s="7">
        <v>5</v>
      </c>
      <c r="E26" s="7">
        <f>327-B26-C26-D26</f>
        <v>239</v>
      </c>
      <c r="F26" s="8">
        <f>IFERROR(B26/(B26+C26),0)</f>
        <v>0.24096385542168675</v>
      </c>
      <c r="G26" s="8">
        <f>IFERROR(B26/(B26+D26),0)</f>
        <v>0.8</v>
      </c>
      <c r="H26" s="8">
        <f>IFERROR(2*F26*G26/(F26+G26),0)</f>
        <v>0.37037037037037035</v>
      </c>
      <c r="I26" s="5"/>
    </row>
    <row r="27" spans="1:9">
      <c r="A27" s="5" t="s">
        <v>255</v>
      </c>
      <c r="B27" s="5">
        <v>11</v>
      </c>
      <c r="C27" s="5">
        <v>31</v>
      </c>
      <c r="D27" s="5">
        <v>14</v>
      </c>
      <c r="E27" s="5">
        <f>327-B27-C27-D27</f>
        <v>271</v>
      </c>
      <c r="F27" s="6">
        <f>IFERROR(B27/(B27+C27),0)</f>
        <v>0.26190476190476192</v>
      </c>
      <c r="G27" s="6">
        <f>IFERROR(B27/(B27+D27),0)</f>
        <v>0.44</v>
      </c>
      <c r="H27" s="6">
        <f>IFERROR(2*F27*G27/(F27+G27),0)</f>
        <v>0.32835820895522388</v>
      </c>
      <c r="I27" s="5"/>
    </row>
    <row r="28" spans="1:9">
      <c r="A28" s="5" t="s">
        <v>256</v>
      </c>
      <c r="B28" s="5" t="s">
        <v>208</v>
      </c>
      <c r="C28" s="5"/>
      <c r="D28" s="5"/>
      <c r="E28" s="5"/>
      <c r="F28" s="5"/>
      <c r="G28" s="5"/>
      <c r="H28" s="5"/>
      <c r="I28" s="5" t="s">
        <v>257</v>
      </c>
    </row>
    <row r="29" spans="1:9">
      <c r="A29" s="3" t="s">
        <v>258</v>
      </c>
      <c r="B29" s="4"/>
      <c r="C29" s="4"/>
      <c r="D29" s="4"/>
      <c r="E29" s="4"/>
      <c r="F29" s="4"/>
      <c r="G29" s="4"/>
      <c r="H29" s="4"/>
      <c r="I29" s="4"/>
    </row>
    <row r="30" spans="1:9">
      <c r="A30" s="7" t="s">
        <v>64</v>
      </c>
      <c r="B30" s="7">
        <v>14</v>
      </c>
      <c r="C30" s="7">
        <v>30</v>
      </c>
      <c r="D30" s="7">
        <v>11</v>
      </c>
      <c r="E30" s="7">
        <f>327-B30-C30-D30</f>
        <v>272</v>
      </c>
      <c r="F30" s="8">
        <f>IFERROR(B30/(B30+C30),0)</f>
        <v>0.31818181818181818</v>
      </c>
      <c r="G30" s="8">
        <f>IFERROR(B30/(B30+D30),0)</f>
        <v>0.56000000000000005</v>
      </c>
      <c r="H30" s="8">
        <f>IFERROR(2*F30*G30/(F30+G30),0)</f>
        <v>0.40579710144927539</v>
      </c>
      <c r="I30" s="5"/>
    </row>
    <row r="31" spans="1:9">
      <c r="A31" s="5" t="s">
        <v>259</v>
      </c>
      <c r="B31" s="5">
        <v>13</v>
      </c>
      <c r="C31" s="5">
        <v>36</v>
      </c>
      <c r="D31" s="5">
        <v>12</v>
      </c>
      <c r="E31" s="5">
        <f>327-B31-C31-D31</f>
        <v>266</v>
      </c>
      <c r="F31" s="6">
        <f>IFERROR(B31/(B31+C31),0)</f>
        <v>0.26530612244897961</v>
      </c>
      <c r="G31" s="6">
        <f>IFERROR(B31/(B31+D31),0)</f>
        <v>0.52</v>
      </c>
      <c r="H31" s="6">
        <f>IFERROR(2*F31*G31/(F31+G31),0)</f>
        <v>0.35135135135135137</v>
      </c>
      <c r="I31" s="5"/>
    </row>
    <row r="32" spans="1:9">
      <c r="A32" s="3" t="s">
        <v>284</v>
      </c>
      <c r="B32" s="4"/>
      <c r="C32" s="4"/>
      <c r="D32" s="4"/>
      <c r="E32" s="4"/>
      <c r="F32" s="4"/>
      <c r="G32" s="4"/>
      <c r="H32" s="4"/>
      <c r="I32" s="4"/>
    </row>
    <row r="33" spans="1:9">
      <c r="A33" s="7" t="s">
        <v>216</v>
      </c>
      <c r="B33" s="7">
        <v>17</v>
      </c>
      <c r="C33" s="7">
        <v>46</v>
      </c>
      <c r="D33" s="7">
        <v>8</v>
      </c>
      <c r="E33" s="7">
        <f>327-B33-C33-D33</f>
        <v>256</v>
      </c>
      <c r="F33" s="8">
        <f>IFERROR(B33/(B33+C33),0)</f>
        <v>0.26984126984126983</v>
      </c>
      <c r="G33" s="8">
        <f>IFERROR(B33/(B33+D33),0)</f>
        <v>0.68</v>
      </c>
      <c r="H33" s="8">
        <f>IFERROR(2*F33*G33/(F33+G33),0)</f>
        <v>0.3863636363636363</v>
      </c>
      <c r="I33" s="5" t="s">
        <v>285</v>
      </c>
    </row>
    <row r="34" spans="1:9">
      <c r="A34" s="7" t="s">
        <v>218</v>
      </c>
      <c r="B34" s="7">
        <v>21</v>
      </c>
      <c r="C34" s="7">
        <v>93</v>
      </c>
      <c r="D34" s="7">
        <v>4</v>
      </c>
      <c r="E34" s="7">
        <f>327-B34-C34-D34</f>
        <v>209</v>
      </c>
      <c r="F34" s="8">
        <f>IFERROR(B34/(B34+C34),0)</f>
        <v>0.18421052631578946</v>
      </c>
      <c r="G34" s="8">
        <f>IFERROR(B34/(B34+D34),0)</f>
        <v>0.84</v>
      </c>
      <c r="H34" s="8">
        <f>IFERROR(2*F34*G34/(F34+G34),0)</f>
        <v>0.30215827338129492</v>
      </c>
      <c r="I34" s="5" t="s">
        <v>285</v>
      </c>
    </row>
    <row r="35" spans="1:9">
      <c r="A35" s="3" t="s">
        <v>262</v>
      </c>
      <c r="B35" s="4"/>
      <c r="C35" s="4"/>
      <c r="D35" s="4"/>
      <c r="E35" s="4"/>
      <c r="F35" s="4"/>
      <c r="G35" s="4"/>
      <c r="H35" s="4"/>
      <c r="I35" s="4"/>
    </row>
    <row r="36" spans="1:9">
      <c r="A36" s="7" t="s">
        <v>263</v>
      </c>
      <c r="B36" s="7">
        <v>18</v>
      </c>
      <c r="C36" s="7">
        <v>85</v>
      </c>
      <c r="D36" s="7">
        <v>7</v>
      </c>
      <c r="E36" s="7">
        <f>327-B36-C36-D36</f>
        <v>217</v>
      </c>
      <c r="F36" s="8">
        <f>IFERROR(B36/(B36+C36),0)</f>
        <v>0.17475728155339806</v>
      </c>
      <c r="G36" s="8">
        <f>IFERROR(B36/(B36+D36),0)</f>
        <v>0.72</v>
      </c>
      <c r="H36" s="8">
        <f>IFERROR(2*F36*G36/(F36+G36),0)</f>
        <v>0.28125</v>
      </c>
      <c r="I36" s="5"/>
    </row>
    <row r="37" spans="1:9">
      <c r="A37" s="7" t="s">
        <v>264</v>
      </c>
      <c r="B37" s="7">
        <v>10</v>
      </c>
      <c r="C37" s="7">
        <v>28</v>
      </c>
      <c r="D37" s="7">
        <v>15</v>
      </c>
      <c r="E37" s="7">
        <f>327-B37-C37-D37</f>
        <v>274</v>
      </c>
      <c r="F37" s="8">
        <f>IFERROR(B37/(B37+C37),0)</f>
        <v>0.26315789473684209</v>
      </c>
      <c r="G37" s="8">
        <f>IFERROR(B37/(B37+D37),0)</f>
        <v>0.4</v>
      </c>
      <c r="H37" s="8">
        <f>IFERROR(2*F37*G37/(F37+G37),0)</f>
        <v>0.31746031746031739</v>
      </c>
      <c r="I37" s="5"/>
    </row>
  </sheetData>
  <mergeCells count="17">
    <mergeCell ref="B1:I1"/>
    <mergeCell ref="B8:I8"/>
    <mergeCell ref="B4:I4"/>
    <mergeCell ref="B17:I17"/>
    <mergeCell ref="B6:I6"/>
    <mergeCell ref="B2:I2"/>
    <mergeCell ref="B16:I16"/>
    <mergeCell ref="B10:I10"/>
    <mergeCell ref="B3:I3"/>
    <mergeCell ref="B5:I5"/>
    <mergeCell ref="B14:I14"/>
    <mergeCell ref="B9:I9"/>
    <mergeCell ref="B12:I12"/>
    <mergeCell ref="B13:I13"/>
    <mergeCell ref="B15:I15"/>
    <mergeCell ref="B7:I7"/>
    <mergeCell ref="B11:I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"/>
  <sheetViews>
    <sheetView workbookViewId="0"/>
  </sheetViews>
  <sheetFormatPr defaultRowHeight="14.35"/>
  <cols>
    <col min="1" max="1" width="34" customWidth="1"/>
    <col min="2" max="5" width="7" customWidth="1"/>
    <col min="6" max="8" width="8" customWidth="1"/>
    <col min="9" max="9" width="70" customWidth="1"/>
  </cols>
  <sheetData>
    <row r="1" spans="1:9" ht="15" customHeight="1">
      <c r="A1" s="1" t="s">
        <v>0</v>
      </c>
      <c r="B1" s="17" t="s">
        <v>286</v>
      </c>
      <c r="C1" s="18"/>
      <c r="D1" s="18"/>
      <c r="E1" s="18"/>
      <c r="F1" s="18"/>
      <c r="G1" s="18"/>
      <c r="H1" s="18"/>
      <c r="I1" s="18"/>
    </row>
    <row r="2" spans="1:9" ht="15" customHeight="1">
      <c r="A2" s="1" t="s">
        <v>2</v>
      </c>
      <c r="B2" s="17" t="s">
        <v>287</v>
      </c>
      <c r="C2" s="18"/>
      <c r="D2" s="18"/>
      <c r="E2" s="18"/>
      <c r="F2" s="18"/>
      <c r="G2" s="18"/>
      <c r="H2" s="18"/>
      <c r="I2" s="18"/>
    </row>
    <row r="3" spans="1:9" ht="30" customHeight="1">
      <c r="A3" s="1" t="s">
        <v>4</v>
      </c>
      <c r="B3" s="17" t="s">
        <v>288</v>
      </c>
      <c r="C3" s="18"/>
      <c r="D3" s="18"/>
      <c r="E3" s="18"/>
      <c r="F3" s="18"/>
      <c r="G3" s="18"/>
      <c r="H3" s="18"/>
      <c r="I3" s="18"/>
    </row>
    <row r="4" spans="1:9" ht="15" customHeight="1">
      <c r="A4" s="1" t="s">
        <v>6</v>
      </c>
      <c r="B4" s="17" t="s">
        <v>289</v>
      </c>
      <c r="C4" s="18"/>
      <c r="D4" s="18"/>
      <c r="E4" s="18"/>
      <c r="F4" s="18"/>
      <c r="G4" s="18"/>
      <c r="H4" s="18"/>
      <c r="I4" s="18"/>
    </row>
    <row r="5" spans="1:9" ht="15" customHeight="1">
      <c r="A5" s="1" t="s">
        <v>8</v>
      </c>
      <c r="B5" s="17" t="s">
        <v>290</v>
      </c>
      <c r="C5" s="18"/>
      <c r="D5" s="18"/>
      <c r="E5" s="18"/>
      <c r="F5" s="18"/>
      <c r="G5" s="18"/>
      <c r="H5" s="18"/>
      <c r="I5" s="18"/>
    </row>
    <row r="6" spans="1:9" ht="15" customHeight="1">
      <c r="A6" s="1" t="s">
        <v>10</v>
      </c>
      <c r="B6" s="17">
        <v>3</v>
      </c>
      <c r="C6" s="18"/>
      <c r="D6" s="18"/>
      <c r="E6" s="18"/>
      <c r="F6" s="18"/>
      <c r="G6" s="18"/>
      <c r="H6" s="18"/>
      <c r="I6" s="18"/>
    </row>
    <row r="7" spans="1:9" ht="30" customHeight="1">
      <c r="A7" s="1" t="s">
        <v>11</v>
      </c>
      <c r="B7" s="17" t="s">
        <v>291</v>
      </c>
      <c r="C7" s="18"/>
      <c r="D7" s="18"/>
      <c r="E7" s="18"/>
      <c r="F7" s="18"/>
      <c r="G7" s="18"/>
      <c r="H7" s="18"/>
      <c r="I7" s="18"/>
    </row>
    <row r="8" spans="1:9" ht="15" customHeight="1">
      <c r="A8" s="1" t="s">
        <v>292</v>
      </c>
      <c r="B8" s="17">
        <v>179</v>
      </c>
      <c r="C8" s="18"/>
      <c r="D8" s="18"/>
      <c r="E8" s="18"/>
      <c r="F8" s="18"/>
      <c r="G8" s="18"/>
      <c r="H8" s="18"/>
      <c r="I8" s="18"/>
    </row>
    <row r="9" spans="1:9" ht="30" customHeight="1">
      <c r="A9" s="1" t="s">
        <v>293</v>
      </c>
      <c r="B9" s="17" t="s">
        <v>294</v>
      </c>
      <c r="C9" s="18"/>
      <c r="D9" s="18"/>
      <c r="E9" s="18"/>
      <c r="F9" s="18"/>
      <c r="G9" s="18"/>
      <c r="H9" s="18"/>
      <c r="I9" s="18"/>
    </row>
    <row r="10" spans="1:9" ht="45" customHeight="1">
      <c r="A10" s="1" t="s">
        <v>295</v>
      </c>
      <c r="B10" s="17" t="s">
        <v>296</v>
      </c>
      <c r="C10" s="18"/>
      <c r="D10" s="18"/>
      <c r="E10" s="18"/>
      <c r="F10" s="18"/>
      <c r="G10" s="18"/>
      <c r="H10" s="18"/>
      <c r="I10" s="18"/>
    </row>
    <row r="11" spans="1:9" ht="15" customHeight="1">
      <c r="A11" s="1" t="s">
        <v>297</v>
      </c>
      <c r="B11" s="17" t="s">
        <v>298</v>
      </c>
      <c r="C11" s="18"/>
      <c r="D11" s="18"/>
      <c r="E11" s="18"/>
      <c r="F11" s="18"/>
      <c r="G11" s="18"/>
      <c r="H11" s="18"/>
      <c r="I11" s="18"/>
    </row>
    <row r="13" spans="1:9">
      <c r="A13" s="2" t="s">
        <v>25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31</v>
      </c>
      <c r="H13" s="2" t="s">
        <v>32</v>
      </c>
      <c r="I13" s="2" t="s">
        <v>33</v>
      </c>
    </row>
    <row r="14" spans="1:9">
      <c r="A14" s="3" t="s">
        <v>299</v>
      </c>
      <c r="B14" s="4"/>
      <c r="C14" s="4"/>
      <c r="D14" s="4"/>
      <c r="E14" s="4"/>
      <c r="F14" s="4"/>
      <c r="G14" s="4"/>
      <c r="H14" s="4"/>
      <c r="I14" s="4"/>
    </row>
    <row r="15" spans="1:9">
      <c r="A15" s="5" t="s">
        <v>300</v>
      </c>
      <c r="B15" s="5">
        <v>17</v>
      </c>
      <c r="C15" s="5">
        <v>3</v>
      </c>
      <c r="D15" s="5">
        <v>162</v>
      </c>
      <c r="E15" s="5" t="e">
        <f>n/a-B15-C15-D15</f>
        <v>#NAME?</v>
      </c>
      <c r="F15" s="6">
        <f>IFERROR(B15/(B15+C15),0)</f>
        <v>0.85</v>
      </c>
      <c r="G15" s="6">
        <f>IFERROR(B15/(B15+D15),0)</f>
        <v>9.4972067039106142E-2</v>
      </c>
      <c r="H15" s="6">
        <f>IFERROR(2*F15*G15/(F15+G15),0)</f>
        <v>0.17085427135678394</v>
      </c>
      <c r="I15" s="5"/>
    </row>
    <row r="16" spans="1:9">
      <c r="A16" s="5" t="s">
        <v>301</v>
      </c>
      <c r="B16" s="5">
        <v>6</v>
      </c>
      <c r="C16" s="5">
        <v>1</v>
      </c>
      <c r="D16" s="5">
        <v>173</v>
      </c>
      <c r="E16" s="5" t="e">
        <f>n/a-B16-C16-D16</f>
        <v>#NAME?</v>
      </c>
      <c r="F16" s="6">
        <f>IFERROR(B16/(B16+C16),0)</f>
        <v>0.8571428571428571</v>
      </c>
      <c r="G16" s="6">
        <f>IFERROR(B16/(B16+D16),0)</f>
        <v>3.3519553072625698E-2</v>
      </c>
      <c r="H16" s="6">
        <f>IFERROR(2*F16*G16/(F16+G16),0)</f>
        <v>6.4516129032258063E-2</v>
      </c>
      <c r="I16" s="5"/>
    </row>
    <row r="17" spans="1:9">
      <c r="A17" s="7" t="s">
        <v>302</v>
      </c>
      <c r="B17" s="7">
        <v>34</v>
      </c>
      <c r="C17" s="7">
        <v>4</v>
      </c>
      <c r="D17" s="7">
        <v>145</v>
      </c>
      <c r="E17" s="7" t="e">
        <f>n/a-B17-C17-D17</f>
        <v>#NAME?</v>
      </c>
      <c r="F17" s="8">
        <f>IFERROR(B17/(B17+C17),0)</f>
        <v>0.89473684210526316</v>
      </c>
      <c r="G17" s="8">
        <f>IFERROR(B17/(B17+D17),0)</f>
        <v>0.18994413407821228</v>
      </c>
      <c r="H17" s="8">
        <f>IFERROR(2*F17*G17/(F17+G17),0)</f>
        <v>0.31336405529953915</v>
      </c>
      <c r="I17" s="5"/>
    </row>
    <row r="18" spans="1:9">
      <c r="A18" s="3" t="s">
        <v>303</v>
      </c>
      <c r="B18" s="4"/>
      <c r="C18" s="4"/>
      <c r="D18" s="4"/>
      <c r="E18" s="4"/>
      <c r="F18" s="4"/>
      <c r="G18" s="4"/>
      <c r="H18" s="4"/>
      <c r="I18" s="4"/>
    </row>
    <row r="19" spans="1:9">
      <c r="A19" s="5" t="s">
        <v>304</v>
      </c>
      <c r="B19" s="5">
        <v>25</v>
      </c>
      <c r="C19" s="5">
        <v>3</v>
      </c>
      <c r="D19" s="5">
        <v>154</v>
      </c>
      <c r="E19" s="5" t="e">
        <f>n/a-B19-C19-D19</f>
        <v>#NAME?</v>
      </c>
      <c r="F19" s="6">
        <f>IFERROR(B19/(B19+C19),0)</f>
        <v>0.8928571428571429</v>
      </c>
      <c r="G19" s="6">
        <f>IFERROR(B19/(B19+D19),0)</f>
        <v>0.13966480446927373</v>
      </c>
      <c r="H19" s="6">
        <f>IFERROR(2*F19*G19/(F19+G19),0)</f>
        <v>0.24154589371980675</v>
      </c>
      <c r="I19" s="5"/>
    </row>
    <row r="20" spans="1:9">
      <c r="A20" s="5" t="s">
        <v>305</v>
      </c>
      <c r="B20" s="5">
        <v>28</v>
      </c>
      <c r="C20" s="5">
        <v>16</v>
      </c>
      <c r="D20" s="5">
        <v>151</v>
      </c>
      <c r="E20" s="5" t="e">
        <f>n/a-B20-C20-D20</f>
        <v>#NAME?</v>
      </c>
      <c r="F20" s="6">
        <f>IFERROR(B20/(B20+C20),0)</f>
        <v>0.63636363636363635</v>
      </c>
      <c r="G20" s="6">
        <f>IFERROR(B20/(B20+D20),0)</f>
        <v>0.15642458100558659</v>
      </c>
      <c r="H20" s="6">
        <f>IFERROR(2*F20*G20/(F20+G20),0)</f>
        <v>0.25112107623318386</v>
      </c>
      <c r="I20" s="5"/>
    </row>
    <row r="21" spans="1:9">
      <c r="A21" s="7" t="s">
        <v>306</v>
      </c>
      <c r="B21" s="7">
        <v>45</v>
      </c>
      <c r="C21" s="7">
        <v>9</v>
      </c>
      <c r="D21" s="7">
        <v>134</v>
      </c>
      <c r="E21" s="7" t="e">
        <f>n/a-B21-C21-D21</f>
        <v>#NAME?</v>
      </c>
      <c r="F21" s="8">
        <f>IFERROR(B21/(B21+C21),0)</f>
        <v>0.83333333333333337</v>
      </c>
      <c r="G21" s="8">
        <f>IFERROR(B21/(B21+D21),0)</f>
        <v>0.25139664804469275</v>
      </c>
      <c r="H21" s="8">
        <f>IFERROR(2*F21*G21/(F21+G21),0)</f>
        <v>0.38626609442060084</v>
      </c>
      <c r="I21" s="5"/>
    </row>
  </sheetData>
  <mergeCells count="11">
    <mergeCell ref="B1:I1"/>
    <mergeCell ref="B8:I8"/>
    <mergeCell ref="B4:I4"/>
    <mergeCell ref="B9:I9"/>
    <mergeCell ref="B7:I7"/>
    <mergeCell ref="B11:I11"/>
    <mergeCell ref="B6:I6"/>
    <mergeCell ref="B2:I2"/>
    <mergeCell ref="B10:I10"/>
    <mergeCell ref="B3:I3"/>
    <mergeCell ref="B5:I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workbookViewId="0"/>
  </sheetViews>
  <sheetFormatPr defaultRowHeight="14.35"/>
  <cols>
    <col min="1" max="1" width="26" customWidth="1"/>
    <col min="2" max="3" width="30" customWidth="1"/>
    <col min="4" max="4" width="70" customWidth="1"/>
  </cols>
  <sheetData>
    <row r="1" spans="1:4">
      <c r="A1" s="2" t="s">
        <v>0</v>
      </c>
      <c r="B1" s="2" t="s">
        <v>307</v>
      </c>
      <c r="C1" s="2" t="s">
        <v>308</v>
      </c>
      <c r="D1" s="2" t="s">
        <v>309</v>
      </c>
    </row>
    <row r="2" spans="1:4" ht="15" customHeight="1">
      <c r="A2" s="12" t="s">
        <v>310</v>
      </c>
      <c r="B2" s="5" t="s">
        <v>311</v>
      </c>
      <c r="C2" s="5" t="s">
        <v>312</v>
      </c>
      <c r="D2" s="13" t="s">
        <v>313</v>
      </c>
    </row>
    <row r="3" spans="1:4" ht="15" customHeight="1">
      <c r="A3" s="12" t="s">
        <v>314</v>
      </c>
      <c r="B3" s="5" t="s">
        <v>315</v>
      </c>
      <c r="C3" s="5" t="s">
        <v>312</v>
      </c>
      <c r="D3" s="13" t="s">
        <v>316</v>
      </c>
    </row>
    <row r="4" spans="1:4" ht="15" customHeight="1">
      <c r="A4" s="12" t="s">
        <v>317</v>
      </c>
      <c r="B4" s="5" t="s">
        <v>318</v>
      </c>
      <c r="C4" s="5" t="s">
        <v>319</v>
      </c>
      <c r="D4" s="13" t="s">
        <v>320</v>
      </c>
    </row>
    <row r="5" spans="1:4" ht="15" customHeight="1">
      <c r="A5" s="12" t="s">
        <v>321</v>
      </c>
      <c r="B5" s="5" t="s">
        <v>322</v>
      </c>
      <c r="C5" s="5" t="s">
        <v>312</v>
      </c>
      <c r="D5" s="13" t="s">
        <v>323</v>
      </c>
    </row>
    <row r="6" spans="1:4" ht="15" customHeight="1">
      <c r="A6" s="14" t="s">
        <v>324</v>
      </c>
      <c r="B6" s="5" t="s">
        <v>325</v>
      </c>
      <c r="C6" s="5" t="s">
        <v>326</v>
      </c>
      <c r="D6" s="13" t="s">
        <v>327</v>
      </c>
    </row>
    <row r="7" spans="1:4" ht="15" customHeight="1">
      <c r="A7" s="14" t="s">
        <v>328</v>
      </c>
      <c r="B7" s="5" t="s">
        <v>329</v>
      </c>
      <c r="C7" s="5" t="s">
        <v>330</v>
      </c>
      <c r="D7" s="13" t="s">
        <v>331</v>
      </c>
    </row>
    <row r="8" spans="1:4" ht="15" customHeight="1">
      <c r="A8" s="14" t="s">
        <v>332</v>
      </c>
      <c r="B8" s="5" t="s">
        <v>333</v>
      </c>
      <c r="C8" s="5" t="s">
        <v>334</v>
      </c>
      <c r="D8" s="13" t="s">
        <v>335</v>
      </c>
    </row>
    <row r="9" spans="1:4" ht="15" customHeight="1">
      <c r="A9" s="14" t="s">
        <v>336</v>
      </c>
      <c r="B9" s="5" t="s">
        <v>337</v>
      </c>
      <c r="C9" s="5" t="s">
        <v>338</v>
      </c>
      <c r="D9" s="13" t="s">
        <v>339</v>
      </c>
    </row>
    <row r="10" spans="1:4" ht="15" customHeight="1">
      <c r="A10" s="12" t="s">
        <v>340</v>
      </c>
      <c r="B10" s="5" t="s">
        <v>341</v>
      </c>
      <c r="C10" s="5" t="s">
        <v>342</v>
      </c>
      <c r="D10" s="13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5"/>
  <sheetViews>
    <sheetView workbookViewId="0"/>
  </sheetViews>
  <sheetFormatPr defaultRowHeight="14.35"/>
  <cols>
    <col min="1" max="1" width="140" customWidth="1"/>
  </cols>
  <sheetData>
    <row r="1" spans="1:1" ht="16.350000000000001">
      <c r="A1" s="15" t="s">
        <v>343</v>
      </c>
    </row>
    <row r="2" spans="1:1" ht="45" customHeight="1">
      <c r="A2" s="16" t="s">
        <v>344</v>
      </c>
    </row>
    <row r="3" spans="1:1" ht="45" customHeight="1">
      <c r="A3" s="16" t="s">
        <v>345</v>
      </c>
    </row>
    <row r="5" spans="1:1" ht="16.350000000000001">
      <c r="A5" s="15" t="s">
        <v>346</v>
      </c>
    </row>
    <row r="6" spans="1:1" ht="45" customHeight="1">
      <c r="A6" s="16" t="s">
        <v>347</v>
      </c>
    </row>
    <row r="7" spans="1:1" ht="45" customHeight="1">
      <c r="A7" s="16" t="s">
        <v>348</v>
      </c>
    </row>
    <row r="8" spans="1:1" ht="45" customHeight="1">
      <c r="A8" s="16" t="s">
        <v>349</v>
      </c>
    </row>
    <row r="9" spans="1:1" ht="45" customHeight="1">
      <c r="A9" s="16" t="s">
        <v>350</v>
      </c>
    </row>
    <row r="10" spans="1:1" ht="45" customHeight="1">
      <c r="A10" s="16" t="s">
        <v>351</v>
      </c>
    </row>
    <row r="11" spans="1:1" ht="45" customHeight="1">
      <c r="A11" s="16" t="s">
        <v>352</v>
      </c>
    </row>
    <row r="13" spans="1:1" ht="16.350000000000001">
      <c r="A13" s="15" t="s">
        <v>353</v>
      </c>
    </row>
    <row r="14" spans="1:1" ht="45" customHeight="1">
      <c r="A14" s="16" t="s">
        <v>354</v>
      </c>
    </row>
    <row r="15" spans="1:1" ht="45" customHeight="1">
      <c r="A15" s="16" t="s">
        <v>355</v>
      </c>
    </row>
    <row r="16" spans="1:1" ht="45" customHeight="1">
      <c r="A16" s="16" t="s">
        <v>356</v>
      </c>
    </row>
    <row r="17" spans="1:1" ht="45" customHeight="1">
      <c r="A17" s="16" t="s">
        <v>357</v>
      </c>
    </row>
    <row r="18" spans="1:1" ht="45" customHeight="1">
      <c r="A18" s="16" t="s">
        <v>358</v>
      </c>
    </row>
    <row r="20" spans="1:1" ht="16.350000000000001">
      <c r="A20" s="15" t="s">
        <v>359</v>
      </c>
    </row>
    <row r="21" spans="1:1" ht="45" customHeight="1">
      <c r="A21" s="16" t="s">
        <v>360</v>
      </c>
    </row>
    <row r="23" spans="1:1" ht="16.350000000000001">
      <c r="A23" s="15" t="s">
        <v>361</v>
      </c>
    </row>
    <row r="24" spans="1:1" ht="45" customHeight="1">
      <c r="A24" s="16" t="s">
        <v>362</v>
      </c>
    </row>
    <row r="26" spans="1:1" ht="16.350000000000001">
      <c r="A26" s="15" t="s">
        <v>363</v>
      </c>
    </row>
    <row r="27" spans="1:1" ht="45" customHeight="1">
      <c r="A27" s="16" t="s">
        <v>364</v>
      </c>
    </row>
    <row r="28" spans="1:1" ht="45" customHeight="1">
      <c r="A28" s="16" t="s">
        <v>365</v>
      </c>
    </row>
    <row r="29" spans="1:1" ht="45" customHeight="1">
      <c r="A29" s="16" t="s">
        <v>366</v>
      </c>
    </row>
    <row r="30" spans="1:1" ht="45" customHeight="1">
      <c r="A30" s="16" t="s">
        <v>367</v>
      </c>
    </row>
    <row r="31" spans="1:1" ht="45" customHeight="1">
      <c r="A31" s="16" t="s">
        <v>368</v>
      </c>
    </row>
    <row r="32" spans="1:1" ht="45" customHeight="1">
      <c r="A32" s="16" t="s">
        <v>369</v>
      </c>
    </row>
    <row r="34" spans="1:1" ht="16.350000000000001">
      <c r="A34" s="15" t="s">
        <v>370</v>
      </c>
    </row>
    <row r="35" spans="1:1" ht="45" customHeight="1">
      <c r="A35" s="16" t="s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11</vt:i4>
      </vt:variant>
    </vt:vector>
  </HeadingPairs>
  <TitlesOfParts>
    <vt:vector size="11" baseType="lpstr">
      <vt:lpstr>E1v2 Core</vt:lpstr>
      <vt:lpstr>Eras FewShot</vt:lpstr>
      <vt:lpstr>Multipoet F5F10</vt:lpstr>
      <vt:lpstr>Opus5.5 SetA</vt:lpstr>
      <vt:lpstr>P7 استعارة قديمة</vt:lpstr>
      <vt:lpstr>P7 كناية عن صفة</vt:lpstr>
      <vt:lpstr>P7 تشبيه قصير</vt:lpstr>
      <vt:lpstr>P7 تشبيه مطول</vt:lpstr>
      <vt:lpstr>Phase1 Frozen</vt:lpstr>
      <vt:lpstr>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faisal omari</cp:lastModifiedBy>
  <dcterms:created xsi:type="dcterms:W3CDTF">2026-10-30T07:48:30Z</dcterms:created>
  <dcterms:modified xsi:type="dcterms:W3CDTF">2026-10-30T07:48:42Z</dcterms:modified>
</cp:coreProperties>
</file>